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codeName="ThisWorkbook" defaultThemeVersion="124226"/>
  <bookViews>
    <workbookView xWindow="6045" yWindow="2175" windowWidth="28350" windowHeight="18375" tabRatio="744"/>
  </bookViews>
  <sheets>
    <sheet name="Read Me" sheetId="38" r:id="rId1"/>
    <sheet name="6-String" sheetId="34" r:id="rId2"/>
    <sheet name="12-String" sheetId="35" r:id="rId3"/>
    <sheet name="Scratch Paper" sheetId="39" r:id="rId4"/>
    <sheet name="Pitch" sheetId="7" state="hidden" r:id="rId5"/>
    <sheet name="String" sheetId="8" state="hidden" r:id="rId6"/>
  </sheets>
  <definedNames>
    <definedName name="Bronze">String!$J$8:$J$40</definedName>
    <definedName name="BWSet12">String!$L$116</definedName>
    <definedName name="BWSet6">String!$X$116:$X$120</definedName>
    <definedName name="NickelWound">String!$D$8:$D$44</definedName>
    <definedName name="NWSet12">String!$P$133</definedName>
    <definedName name="NWSet6">String!$X$133:$X$139</definedName>
    <definedName name="PBSet12">String!$X$109:$X$112</definedName>
    <definedName name="PBSet6">String!$X$100:$X$106</definedName>
    <definedName name="PhosBronze">String!$G$8:$G$48</definedName>
    <definedName name="Pitch">Pitch!$A$4:$A$52</definedName>
    <definedName name="Plain">String!$A$8:$A$33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8" l="1"/>
  <c r="K34" i="8"/>
  <c r="K32" i="8"/>
  <c r="K30" i="8"/>
  <c r="K28" i="8"/>
  <c r="K26" i="8"/>
  <c r="B30" i="8"/>
  <c r="H27" i="8"/>
  <c r="H29" i="8"/>
  <c r="H31" i="8"/>
  <c r="H46" i="8"/>
  <c r="H33" i="8"/>
  <c r="H40" i="8"/>
  <c r="H35" i="8"/>
  <c r="P27" i="34" l="1"/>
  <c r="P32" i="34"/>
  <c r="P31" i="34"/>
  <c r="P30" i="34"/>
  <c r="P29" i="34"/>
  <c r="P28" i="34"/>
  <c r="P44" i="35"/>
  <c r="P43" i="35"/>
  <c r="P42" i="35"/>
  <c r="P41" i="35"/>
  <c r="P40" i="35"/>
  <c r="P39" i="35"/>
  <c r="P38" i="35"/>
  <c r="P37" i="35"/>
  <c r="P36" i="35"/>
  <c r="P35" i="35"/>
  <c r="P34" i="35"/>
  <c r="P33" i="35"/>
  <c r="B75" i="8" l="1"/>
  <c r="K68" i="8" l="1"/>
  <c r="K69" i="8" s="1"/>
  <c r="K71" i="8"/>
  <c r="K73" i="8"/>
  <c r="K75" i="8"/>
  <c r="K77" i="8"/>
  <c r="K79" i="8"/>
  <c r="K82" i="8"/>
  <c r="K85" i="8"/>
  <c r="H91" i="8" l="1"/>
  <c r="H85" i="8"/>
  <c r="H80" i="8"/>
  <c r="H78" i="8"/>
  <c r="H76" i="8"/>
  <c r="H74" i="8"/>
  <c r="H72" i="8"/>
  <c r="H70" i="8"/>
  <c r="H93" i="8" s="1"/>
  <c r="H48" i="8"/>
  <c r="H54" i="8" l="1"/>
  <c r="H53" i="8"/>
  <c r="H9" i="8"/>
  <c r="H8" i="8"/>
  <c r="E70" i="8" l="1"/>
  <c r="E25" i="8"/>
  <c r="E67" i="8"/>
  <c r="E60" i="8"/>
  <c r="E76" i="8" s="1"/>
  <c r="E31" i="8"/>
  <c r="E22" i="8"/>
  <c r="O72" i="7" l="1"/>
  <c r="O74" i="7"/>
  <c r="O75" i="7" s="1"/>
  <c r="N73" i="7"/>
  <c r="C106" i="7"/>
  <c r="A105" i="7"/>
  <c r="C105" i="7" s="1"/>
  <c r="G58" i="7"/>
  <c r="H59" i="7"/>
  <c r="H60" i="7" s="1"/>
  <c r="B51" i="7"/>
  <c r="B50" i="7" s="1"/>
  <c r="H38" i="8"/>
  <c r="H18" i="8"/>
  <c r="H83" i="8"/>
  <c r="H63" i="8"/>
  <c r="N74" i="7"/>
  <c r="N72" i="7"/>
  <c r="O71" i="7"/>
  <c r="O70" i="7" s="1"/>
  <c r="O69" i="7" s="1"/>
  <c r="N71" i="7"/>
  <c r="B49" i="7" l="1"/>
  <c r="B48" i="7" s="1"/>
  <c r="B47" i="7" s="1"/>
  <c r="B46" i="7" s="1"/>
  <c r="B45" i="7" s="1"/>
  <c r="N69" i="7"/>
  <c r="O68" i="7"/>
  <c r="O76" i="7"/>
  <c r="N75" i="7"/>
  <c r="N70" i="7"/>
  <c r="A104" i="7"/>
  <c r="G59" i="7"/>
  <c r="H61" i="7"/>
  <c r="G60" i="7"/>
  <c r="B44" i="7" l="1"/>
  <c r="B43" i="7" s="1"/>
  <c r="B42" i="7" s="1"/>
  <c r="B41" i="7" s="1"/>
  <c r="B40" i="7" s="1"/>
  <c r="B39" i="7" s="1"/>
  <c r="B38" i="7" s="1"/>
  <c r="B37" i="7" s="1"/>
  <c r="B36" i="7" s="1"/>
  <c r="B35" i="7" s="1"/>
  <c r="C104" i="7"/>
  <c r="A103" i="7"/>
  <c r="N76" i="7"/>
  <c r="O77" i="7"/>
  <c r="N68" i="7"/>
  <c r="O67" i="7"/>
  <c r="H62" i="7"/>
  <c r="G61" i="7"/>
  <c r="B34" i="7" l="1"/>
  <c r="B33" i="7" s="1"/>
  <c r="O66" i="7"/>
  <c r="N67" i="7"/>
  <c r="O78" i="7"/>
  <c r="N77" i="7"/>
  <c r="A102" i="7"/>
  <c r="C103" i="7"/>
  <c r="H63" i="7"/>
  <c r="G62" i="7"/>
  <c r="R32" i="34" l="1"/>
  <c r="S32" i="34" s="1"/>
  <c r="J15" i="34"/>
  <c r="J32" i="34"/>
  <c r="K32" i="34" s="1"/>
  <c r="J20" i="35"/>
  <c r="R43" i="35"/>
  <c r="S43" i="35" s="1"/>
  <c r="J43" i="35"/>
  <c r="K43" i="35" s="1"/>
  <c r="B32" i="7"/>
  <c r="B31" i="7" s="1"/>
  <c r="B30" i="7" s="1"/>
  <c r="B29" i="7" s="1"/>
  <c r="B28" i="7" s="1"/>
  <c r="A101" i="7"/>
  <c r="C102" i="7"/>
  <c r="O79" i="7"/>
  <c r="N78" i="7"/>
  <c r="N66" i="7"/>
  <c r="O65" i="7"/>
  <c r="G63" i="7"/>
  <c r="H64" i="7"/>
  <c r="J14" i="34" l="1"/>
  <c r="R41" i="35"/>
  <c r="S41" i="35" s="1"/>
  <c r="R31" i="34"/>
  <c r="S31" i="34" s="1"/>
  <c r="J41" i="35"/>
  <c r="K41" i="35" s="1"/>
  <c r="J18" i="35"/>
  <c r="J31" i="34"/>
  <c r="K31" i="34" s="1"/>
  <c r="B27" i="7"/>
  <c r="B26" i="7" s="1"/>
  <c r="B25" i="7" s="1"/>
  <c r="O80" i="7"/>
  <c r="N79" i="7"/>
  <c r="O64" i="7"/>
  <c r="N65" i="7"/>
  <c r="C101" i="7"/>
  <c r="A100" i="7"/>
  <c r="H65" i="7"/>
  <c r="G64" i="7"/>
  <c r="B24" i="7" l="1"/>
  <c r="B23" i="7" s="1"/>
  <c r="A99" i="7"/>
  <c r="C100" i="7"/>
  <c r="N64" i="7"/>
  <c r="O63" i="7"/>
  <c r="O81" i="7"/>
  <c r="N80" i="7"/>
  <c r="H66" i="7"/>
  <c r="G65" i="7"/>
  <c r="R30" i="34" l="1"/>
  <c r="S30" i="34" s="1"/>
  <c r="J13" i="34"/>
  <c r="J16" i="35"/>
  <c r="R39" i="35"/>
  <c r="S39" i="35" s="1"/>
  <c r="J39" i="35"/>
  <c r="K39" i="35" s="1"/>
  <c r="J30" i="34"/>
  <c r="K30" i="34" s="1"/>
  <c r="B22" i="7"/>
  <c r="B21" i="7" s="1"/>
  <c r="N81" i="7"/>
  <c r="O82" i="7"/>
  <c r="O62" i="7"/>
  <c r="N63" i="7"/>
  <c r="C99" i="7"/>
  <c r="A98" i="7"/>
  <c r="H67" i="7"/>
  <c r="G66" i="7"/>
  <c r="B20" i="7"/>
  <c r="B19" i="7" s="1"/>
  <c r="B18" i="7" s="1"/>
  <c r="J21" i="35" l="1"/>
  <c r="R44" i="35"/>
  <c r="S44" i="35" s="1"/>
  <c r="T44" i="35" s="1"/>
  <c r="J44" i="35"/>
  <c r="K44" i="35" s="1"/>
  <c r="L44" i="35" s="1"/>
  <c r="J12" i="34"/>
  <c r="R29" i="34"/>
  <c r="S29" i="34" s="1"/>
  <c r="J14" i="35"/>
  <c r="R37" i="35"/>
  <c r="S37" i="35" s="1"/>
  <c r="J37" i="35"/>
  <c r="K37" i="35" s="1"/>
  <c r="J29" i="34"/>
  <c r="K29" i="34" s="1"/>
  <c r="C98" i="7"/>
  <c r="A97" i="7"/>
  <c r="O61" i="7"/>
  <c r="N62" i="7"/>
  <c r="O83" i="7"/>
  <c r="N82" i="7"/>
  <c r="G67" i="7"/>
  <c r="H68" i="7"/>
  <c r="B17" i="7"/>
  <c r="O84" i="7" l="1"/>
  <c r="N83" i="7"/>
  <c r="O60" i="7"/>
  <c r="N61" i="7"/>
  <c r="C97" i="7"/>
  <c r="A96" i="7"/>
  <c r="H69" i="7"/>
  <c r="G68" i="7"/>
  <c r="B16" i="7"/>
  <c r="J19" i="35" l="1"/>
  <c r="R42" i="35"/>
  <c r="S42" i="35" s="1"/>
  <c r="T42" i="35" s="1"/>
  <c r="J42" i="35"/>
  <c r="K42" i="35" s="1"/>
  <c r="L42" i="35" s="1"/>
  <c r="O59" i="7"/>
  <c r="N60" i="7"/>
  <c r="N84" i="7"/>
  <c r="O85" i="7"/>
  <c r="A95" i="7"/>
  <c r="C96" i="7"/>
  <c r="G69" i="7"/>
  <c r="H70" i="7"/>
  <c r="B15" i="7"/>
  <c r="B14" i="7" s="1"/>
  <c r="J28" i="34" l="1"/>
  <c r="K28" i="34" s="1"/>
  <c r="R28" i="34"/>
  <c r="S28" i="34" s="1"/>
  <c r="J11" i="34"/>
  <c r="J12" i="35"/>
  <c r="J35" i="35"/>
  <c r="J13" i="35"/>
  <c r="R36" i="35"/>
  <c r="S36" i="35" s="1"/>
  <c r="J36" i="35"/>
  <c r="K36" i="35" s="1"/>
  <c r="R35" i="35"/>
  <c r="S35" i="35" s="1"/>
  <c r="O86" i="7"/>
  <c r="N85" i="7"/>
  <c r="N59" i="7"/>
  <c r="O58" i="7"/>
  <c r="A94" i="7"/>
  <c r="C95" i="7"/>
  <c r="H71" i="7"/>
  <c r="G70" i="7"/>
  <c r="K35" i="35"/>
  <c r="B13" i="7"/>
  <c r="T36" i="35" l="1"/>
  <c r="L36" i="35"/>
  <c r="C94" i="7"/>
  <c r="A93" i="7"/>
  <c r="N58" i="7"/>
  <c r="O57" i="7"/>
  <c r="O87" i="7"/>
  <c r="N86" i="7"/>
  <c r="G71" i="7"/>
  <c r="H72" i="7"/>
  <c r="B12" i="7"/>
  <c r="B11" i="7" s="1"/>
  <c r="R40" i="35" l="1"/>
  <c r="S40" i="35" s="1"/>
  <c r="T40" i="35" s="1"/>
  <c r="J40" i="35"/>
  <c r="K40" i="35" s="1"/>
  <c r="L40" i="35" s="1"/>
  <c r="J17" i="35"/>
  <c r="N57" i="7"/>
  <c r="O56" i="7"/>
  <c r="N87" i="7"/>
  <c r="O88" i="7"/>
  <c r="C93" i="7"/>
  <c r="A92" i="7"/>
  <c r="H73" i="7"/>
  <c r="G72" i="7"/>
  <c r="B10" i="7"/>
  <c r="B9" i="7" s="1"/>
  <c r="J11" i="35" l="1"/>
  <c r="J10" i="35"/>
  <c r="J34" i="35"/>
  <c r="J27" i="34"/>
  <c r="R34" i="35"/>
  <c r="S34" i="35" s="1"/>
  <c r="R27" i="34"/>
  <c r="S27" i="34" s="1"/>
  <c r="J10" i="34"/>
  <c r="M6" i="34" s="1"/>
  <c r="J33" i="35"/>
  <c r="R33" i="35"/>
  <c r="S33" i="35" s="1"/>
  <c r="O89" i="7"/>
  <c r="N88" i="7"/>
  <c r="A91" i="7"/>
  <c r="C92" i="7"/>
  <c r="N56" i="7"/>
  <c r="O55" i="7"/>
  <c r="G73" i="7"/>
  <c r="H74" i="7"/>
  <c r="K34" i="35"/>
  <c r="K33" i="35"/>
  <c r="B8" i="7"/>
  <c r="B7" i="7" s="1"/>
  <c r="B6" i="7" s="1"/>
  <c r="T34" i="35" l="1"/>
  <c r="J15" i="35"/>
  <c r="R38" i="35"/>
  <c r="S38" i="35" s="1"/>
  <c r="T38" i="35" s="1"/>
  <c r="J38" i="35"/>
  <c r="S34" i="34"/>
  <c r="S35" i="34" s="1"/>
  <c r="S36" i="34"/>
  <c r="L34" i="35"/>
  <c r="N89" i="7"/>
  <c r="O90" i="7"/>
  <c r="O54" i="7"/>
  <c r="N55" i="7"/>
  <c r="C91" i="7"/>
  <c r="A90" i="7"/>
  <c r="K27" i="34"/>
  <c r="H75" i="7"/>
  <c r="G74" i="7"/>
  <c r="B5" i="7"/>
  <c r="B4" i="7" s="1"/>
  <c r="S48" i="35" l="1"/>
  <c r="S46" i="35"/>
  <c r="S47" i="35" s="1"/>
  <c r="K36" i="34"/>
  <c r="K34" i="34"/>
  <c r="K35" i="34" s="1"/>
  <c r="O91" i="7"/>
  <c r="N90" i="7"/>
  <c r="K38" i="35"/>
  <c r="O53" i="7"/>
  <c r="N54" i="7"/>
  <c r="A89" i="7"/>
  <c r="C90" i="7"/>
  <c r="G75" i="7"/>
  <c r="H76" i="7"/>
  <c r="L38" i="35" l="1"/>
  <c r="K48" i="35"/>
  <c r="K46" i="35"/>
  <c r="K47" i="35" s="1"/>
  <c r="O92" i="7"/>
  <c r="N91" i="7"/>
  <c r="C89" i="7"/>
  <c r="A88" i="7"/>
  <c r="O52" i="7"/>
  <c r="N53" i="7"/>
  <c r="H77" i="7"/>
  <c r="G76" i="7"/>
  <c r="A87" i="7" l="1"/>
  <c r="C88" i="7"/>
  <c r="N52" i="7"/>
  <c r="O51" i="7"/>
  <c r="O93" i="7"/>
  <c r="N92" i="7"/>
  <c r="H78" i="7"/>
  <c r="G77" i="7"/>
  <c r="O94" i="7" l="1"/>
  <c r="N93" i="7"/>
  <c r="N51" i="7"/>
  <c r="O50" i="7"/>
  <c r="C87" i="7"/>
  <c r="A86" i="7"/>
  <c r="H79" i="7"/>
  <c r="G78" i="7"/>
  <c r="N50" i="7" l="1"/>
  <c r="O49" i="7"/>
  <c r="A85" i="7"/>
  <c r="C86" i="7"/>
  <c r="N94" i="7"/>
  <c r="O95" i="7"/>
  <c r="H80" i="7"/>
  <c r="G79" i="7"/>
  <c r="O96" i="7" l="1"/>
  <c r="N95" i="7"/>
  <c r="C85" i="7"/>
  <c r="A84" i="7"/>
  <c r="N49" i="7"/>
  <c r="O48" i="7"/>
  <c r="G80" i="7"/>
  <c r="H81" i="7"/>
  <c r="N48" i="7" l="1"/>
  <c r="O47" i="7"/>
  <c r="C84" i="7"/>
  <c r="A83" i="7"/>
  <c r="O97" i="7"/>
  <c r="N96" i="7"/>
  <c r="H82" i="7"/>
  <c r="G81" i="7"/>
  <c r="C83" i="7" l="1"/>
  <c r="A82" i="7"/>
  <c r="O46" i="7"/>
  <c r="N47" i="7"/>
  <c r="N97" i="7"/>
  <c r="O98" i="7"/>
  <c r="H83" i="7"/>
  <c r="G82" i="7"/>
  <c r="N46" i="7" l="1"/>
  <c r="O45" i="7"/>
  <c r="N98" i="7"/>
  <c r="O99" i="7"/>
  <c r="A81" i="7"/>
  <c r="C82" i="7"/>
  <c r="H84" i="7"/>
  <c r="G83" i="7"/>
  <c r="C81" i="7" l="1"/>
  <c r="A80" i="7"/>
  <c r="O44" i="7"/>
  <c r="N45" i="7"/>
  <c r="N99" i="7"/>
  <c r="O100" i="7"/>
  <c r="G84" i="7"/>
  <c r="H85" i="7"/>
  <c r="N44" i="7" l="1"/>
  <c r="O43" i="7"/>
  <c r="C80" i="7"/>
  <c r="A79" i="7"/>
  <c r="N100" i="7"/>
  <c r="O101" i="7"/>
  <c r="H86" i="7"/>
  <c r="G85" i="7"/>
  <c r="C79" i="7" l="1"/>
  <c r="A78" i="7"/>
  <c r="O42" i="7"/>
  <c r="N43" i="7"/>
  <c r="O102" i="7"/>
  <c r="N101" i="7"/>
  <c r="H87" i="7"/>
  <c r="G86" i="7"/>
  <c r="N102" i="7" l="1"/>
  <c r="O103" i="7"/>
  <c r="A77" i="7"/>
  <c r="C78" i="7"/>
  <c r="N42" i="7"/>
  <c r="O41" i="7"/>
  <c r="H88" i="7"/>
  <c r="G87" i="7"/>
  <c r="C77" i="7" l="1"/>
  <c r="A76" i="7"/>
  <c r="N41" i="7"/>
  <c r="O40" i="7"/>
  <c r="O104" i="7"/>
  <c r="N103" i="7"/>
  <c r="G88" i="7"/>
  <c r="H89" i="7"/>
  <c r="O105" i="7" l="1"/>
  <c r="N104" i="7"/>
  <c r="O39" i="7"/>
  <c r="N40" i="7"/>
  <c r="A75" i="7"/>
  <c r="C76" i="7"/>
  <c r="G89" i="7"/>
  <c r="H90" i="7"/>
  <c r="C75" i="7" l="1"/>
  <c r="A74" i="7"/>
  <c r="N39" i="7"/>
  <c r="O38" i="7"/>
  <c r="O106" i="7"/>
  <c r="N105" i="7"/>
  <c r="H91" i="7"/>
  <c r="G90" i="7"/>
  <c r="O107" i="7" l="1"/>
  <c r="N106" i="7"/>
  <c r="N38" i="7"/>
  <c r="O37" i="7"/>
  <c r="C74" i="7"/>
  <c r="A73" i="7"/>
  <c r="G91" i="7"/>
  <c r="H92" i="7"/>
  <c r="O36" i="7" l="1"/>
  <c r="N37" i="7"/>
  <c r="C73" i="7"/>
  <c r="A72" i="7"/>
  <c r="O108" i="7"/>
  <c r="N107" i="7"/>
  <c r="H93" i="7"/>
  <c r="G92" i="7"/>
  <c r="A71" i="7" l="1"/>
  <c r="C72" i="7"/>
  <c r="N108" i="7"/>
  <c r="O109" i="7"/>
  <c r="N36" i="7"/>
  <c r="O35" i="7"/>
  <c r="H94" i="7"/>
  <c r="G93" i="7"/>
  <c r="O34" i="7" l="1"/>
  <c r="N35" i="7"/>
  <c r="O110" i="7"/>
  <c r="N109" i="7"/>
  <c r="C71" i="7"/>
  <c r="A70" i="7"/>
  <c r="H95" i="7"/>
  <c r="G94" i="7"/>
  <c r="A69" i="7" l="1"/>
  <c r="C70" i="7"/>
  <c r="N110" i="7"/>
  <c r="O111" i="7"/>
  <c r="O33" i="7"/>
  <c r="N34" i="7"/>
  <c r="G95" i="7"/>
  <c r="H96" i="7"/>
  <c r="O32" i="7" l="1"/>
  <c r="N33" i="7"/>
  <c r="N111" i="7"/>
  <c r="O112" i="7"/>
  <c r="C69" i="7"/>
  <c r="A68" i="7"/>
  <c r="G96" i="7"/>
  <c r="H97" i="7"/>
  <c r="C68" i="7" l="1"/>
  <c r="A67" i="7"/>
  <c r="O113" i="7"/>
  <c r="N112" i="7"/>
  <c r="O31" i="7"/>
  <c r="N32" i="7"/>
  <c r="H98" i="7"/>
  <c r="G97" i="7"/>
  <c r="N31" i="7" l="1"/>
  <c r="O30" i="7"/>
  <c r="O114" i="7"/>
  <c r="N113" i="7"/>
  <c r="C67" i="7"/>
  <c r="A66" i="7"/>
  <c r="G98" i="7"/>
  <c r="H99" i="7"/>
  <c r="A65" i="7" l="1"/>
  <c r="C66" i="7"/>
  <c r="O29" i="7"/>
  <c r="N30" i="7"/>
  <c r="N114" i="7"/>
  <c r="O115" i="7"/>
  <c r="H100" i="7"/>
  <c r="G99" i="7"/>
  <c r="C65" i="7" l="1"/>
  <c r="A64" i="7"/>
  <c r="O116" i="7"/>
  <c r="N115" i="7"/>
  <c r="O28" i="7"/>
  <c r="N29" i="7"/>
  <c r="G100" i="7"/>
  <c r="H101" i="7"/>
  <c r="A63" i="7" l="1"/>
  <c r="C64" i="7"/>
  <c r="O27" i="7"/>
  <c r="N28" i="7"/>
  <c r="N116" i="7"/>
  <c r="O117" i="7"/>
  <c r="G101" i="7"/>
  <c r="H102" i="7"/>
  <c r="N117" i="7" l="1"/>
  <c r="O118" i="7"/>
  <c r="O26" i="7"/>
  <c r="N27" i="7"/>
  <c r="C63" i="7"/>
  <c r="A62" i="7"/>
  <c r="G102" i="7"/>
  <c r="H103" i="7"/>
  <c r="A61" i="7" l="1"/>
  <c r="C62" i="7"/>
  <c r="N26" i="7"/>
  <c r="O25" i="7"/>
  <c r="O119" i="7"/>
  <c r="N118" i="7"/>
  <c r="H104" i="7"/>
  <c r="G103" i="7"/>
  <c r="O24" i="7" l="1"/>
  <c r="N25" i="7"/>
  <c r="A60" i="7"/>
  <c r="C61" i="7"/>
  <c r="N119" i="7"/>
  <c r="O120" i="7"/>
  <c r="H105" i="7"/>
  <c r="H106" i="7" s="1"/>
  <c r="G106" i="7" s="1"/>
  <c r="G104" i="7"/>
  <c r="C60" i="7" l="1"/>
  <c r="A59" i="7"/>
  <c r="A58" i="7" s="1"/>
  <c r="O121" i="7"/>
  <c r="N120" i="7"/>
  <c r="N24" i="7"/>
  <c r="O23" i="7"/>
  <c r="G105" i="7"/>
  <c r="C58" i="7" l="1"/>
  <c r="M6" i="35"/>
  <c r="C59" i="7"/>
  <c r="N121" i="7"/>
  <c r="O122" i="7"/>
  <c r="N23" i="7"/>
  <c r="O22" i="7"/>
  <c r="M7" i="35" l="1"/>
  <c r="M15" i="35"/>
  <c r="M14" i="35"/>
  <c r="M20" i="35"/>
  <c r="M10" i="35"/>
  <c r="M21" i="35"/>
  <c r="M16" i="35"/>
  <c r="M11" i="35"/>
  <c r="M18" i="35"/>
  <c r="M17" i="35"/>
  <c r="N17" i="35" s="1"/>
  <c r="O17" i="35" s="1"/>
  <c r="P17" i="35" s="1"/>
  <c r="M13" i="35"/>
  <c r="N13" i="35" s="1"/>
  <c r="O13" i="35" s="1"/>
  <c r="P13" i="35" s="1"/>
  <c r="M12" i="35"/>
  <c r="N12" i="35" s="1"/>
  <c r="O12" i="35" s="1"/>
  <c r="P12" i="35" s="1"/>
  <c r="Q12" i="35" s="1"/>
  <c r="M19" i="35"/>
  <c r="M12" i="34"/>
  <c r="M10" i="34"/>
  <c r="N10" i="34" s="1"/>
  <c r="M14" i="34"/>
  <c r="N14" i="34" s="1"/>
  <c r="O14" i="34" s="1"/>
  <c r="P14" i="34" s="1"/>
  <c r="M13" i="34"/>
  <c r="M15" i="34"/>
  <c r="N15" i="34" s="1"/>
  <c r="M7" i="34"/>
  <c r="M11" i="34"/>
  <c r="N11" i="34" s="1"/>
  <c r="O11" i="34" s="1"/>
  <c r="P11" i="34" s="1"/>
  <c r="N19" i="35"/>
  <c r="O19" i="35" s="1"/>
  <c r="P19" i="35" s="1"/>
  <c r="N15" i="35"/>
  <c r="O15" i="35" s="1"/>
  <c r="N11" i="35"/>
  <c r="O11" i="35" s="1"/>
  <c r="P11" i="35" s="1"/>
  <c r="N18" i="35"/>
  <c r="O18" i="35" s="1"/>
  <c r="N14" i="35"/>
  <c r="O14" i="35" s="1"/>
  <c r="N21" i="35"/>
  <c r="O21" i="35" s="1"/>
  <c r="N20" i="35"/>
  <c r="O20" i="35" s="1"/>
  <c r="P20" i="35" s="1"/>
  <c r="N16" i="35"/>
  <c r="O16" i="35" s="1"/>
  <c r="N13" i="34"/>
  <c r="O13" i="34" s="1"/>
  <c r="P13" i="34" s="1"/>
  <c r="N12" i="34"/>
  <c r="O12" i="34" s="1"/>
  <c r="P12" i="34" s="1"/>
  <c r="O21" i="7"/>
  <c r="N22" i="7"/>
  <c r="N122" i="7"/>
  <c r="O123" i="7"/>
  <c r="N123" i="7" s="1"/>
  <c r="Q11" i="34" l="1"/>
  <c r="R11" i="34"/>
  <c r="R12" i="34"/>
  <c r="Q12" i="34"/>
  <c r="O10" i="34"/>
  <c r="P10" i="34" s="1"/>
  <c r="N19" i="34"/>
  <c r="Q14" i="34"/>
  <c r="R14" i="34"/>
  <c r="R13" i="34"/>
  <c r="Q13" i="34"/>
  <c r="Q20" i="35"/>
  <c r="R20" i="35"/>
  <c r="R19" i="35"/>
  <c r="Q19" i="35"/>
  <c r="P21" i="35"/>
  <c r="P18" i="35"/>
  <c r="P16" i="35"/>
  <c r="P14" i="35"/>
  <c r="Q17" i="35"/>
  <c r="R17" i="35"/>
  <c r="Q11" i="35"/>
  <c r="R11" i="35"/>
  <c r="Q13" i="35"/>
  <c r="R13" i="35"/>
  <c r="R12" i="35"/>
  <c r="S12" i="35" s="1"/>
  <c r="N21" i="7"/>
  <c r="O20" i="7"/>
  <c r="S11" i="34" l="1"/>
  <c r="K11" i="34" s="1"/>
  <c r="O15" i="34" s="1"/>
  <c r="P15" i="34" s="1"/>
  <c r="S14" i="34"/>
  <c r="S13" i="34"/>
  <c r="H13" i="34" s="1"/>
  <c r="Q10" i="34"/>
  <c r="R10" i="34"/>
  <c r="S12" i="34"/>
  <c r="H12" i="34" s="1"/>
  <c r="Q14" i="35"/>
  <c r="R14" i="35"/>
  <c r="R16" i="35"/>
  <c r="Q16" i="35"/>
  <c r="R18" i="35"/>
  <c r="Q18" i="35"/>
  <c r="Q21" i="35"/>
  <c r="R21" i="35"/>
  <c r="S19" i="35"/>
  <c r="H19" i="35" s="1"/>
  <c r="S11" i="35"/>
  <c r="H11" i="35" s="1"/>
  <c r="H12" i="35"/>
  <c r="K12" i="35"/>
  <c r="S13" i="35"/>
  <c r="S17" i="35"/>
  <c r="O19" i="7"/>
  <c r="N20" i="7"/>
  <c r="S20" i="35"/>
  <c r="H20" i="35" s="1"/>
  <c r="H11" i="34" l="1"/>
  <c r="K14" i="34"/>
  <c r="H14" i="34"/>
  <c r="S14" i="35"/>
  <c r="H14" i="35" s="1"/>
  <c r="K13" i="34"/>
  <c r="S10" i="34"/>
  <c r="K10" i="34" s="1"/>
  <c r="Q15" i="34"/>
  <c r="R15" i="34"/>
  <c r="K12" i="34"/>
  <c r="S21" i="35"/>
  <c r="H21" i="35" s="1"/>
  <c r="S16" i="35"/>
  <c r="H16" i="35" s="1"/>
  <c r="S18" i="35"/>
  <c r="H18" i="35" s="1"/>
  <c r="K19" i="35"/>
  <c r="K11" i="35"/>
  <c r="H17" i="35"/>
  <c r="K17" i="35"/>
  <c r="H13" i="35"/>
  <c r="K13" i="35"/>
  <c r="L13" i="35" s="1"/>
  <c r="K20" i="35"/>
  <c r="O18" i="7"/>
  <c r="N19" i="7"/>
  <c r="H10" i="34" l="1"/>
  <c r="K14" i="35"/>
  <c r="K16" i="35"/>
  <c r="L17" i="35" s="1"/>
  <c r="S15" i="34"/>
  <c r="H15" i="34" s="1"/>
  <c r="K21" i="35"/>
  <c r="L21" i="35" s="1"/>
  <c r="K18" i="35"/>
  <c r="L19" i="35" s="1"/>
  <c r="N18" i="7"/>
  <c r="O17" i="7"/>
  <c r="K15" i="34" l="1"/>
  <c r="K17" i="34" s="1"/>
  <c r="K18" i="34" s="1"/>
  <c r="N17" i="7"/>
  <c r="O16" i="7"/>
  <c r="K19" i="34" l="1"/>
  <c r="O15" i="7"/>
  <c r="N16" i="7"/>
  <c r="O14" i="7" l="1"/>
  <c r="N15" i="7"/>
  <c r="O13" i="7" l="1"/>
  <c r="N14" i="7"/>
  <c r="O12" i="7" l="1"/>
  <c r="N13" i="7"/>
  <c r="O11" i="7" l="1"/>
  <c r="N12" i="7"/>
  <c r="N11" i="7" l="1"/>
  <c r="O10" i="7"/>
  <c r="O9" i="7" l="1"/>
  <c r="N10" i="7"/>
  <c r="O8" i="7" l="1"/>
  <c r="N9" i="7"/>
  <c r="O7" i="7" l="1"/>
  <c r="N8" i="7"/>
  <c r="N7" i="7" l="1"/>
  <c r="O6" i="7"/>
  <c r="O5" i="7" l="1"/>
  <c r="N6" i="7"/>
  <c r="N5" i="7" l="1"/>
  <c r="O4" i="7"/>
  <c r="N4" i="7" s="1"/>
  <c r="P15" i="35"/>
  <c r="R15" i="35" l="1"/>
  <c r="Q15" i="35"/>
  <c r="S15" i="35" l="1"/>
  <c r="K15" i="35" s="1"/>
  <c r="H15" i="35" l="1"/>
  <c r="L15" i="35"/>
  <c r="N10" i="35"/>
  <c r="O10" i="35" s="1"/>
  <c r="P10" i="35" s="1"/>
  <c r="N25" i="35" l="1"/>
  <c r="R10" i="35"/>
  <c r="Q10" i="35"/>
  <c r="S10" i="35" l="1"/>
  <c r="H10" i="35" s="1"/>
  <c r="K10" i="35" l="1"/>
  <c r="L11" i="35" s="1"/>
  <c r="K25" i="35" l="1"/>
  <c r="K23" i="35"/>
  <c r="K24" i="35" s="1"/>
</calcChain>
</file>

<file path=xl/comments1.xml><?xml version="1.0" encoding="utf-8"?>
<comments xmlns="http://schemas.openxmlformats.org/spreadsheetml/2006/main">
  <authors>
    <author>Steve Tilson</author>
  </authors>
  <commentList>
    <comment ref="P9" authorId="0">
      <text>
        <r>
          <rPr>
            <b/>
            <sz val="9"/>
            <color indexed="81"/>
            <rFont val="Tahoma"/>
            <family val="2"/>
          </rPr>
          <t>Differs from Ideal UW only when Ideal UW is out-of-range.</t>
        </r>
      </text>
    </comment>
  </commentList>
</comments>
</file>

<file path=xl/comments2.xml><?xml version="1.0" encoding="utf-8"?>
<comments xmlns="http://schemas.openxmlformats.org/spreadsheetml/2006/main">
  <authors>
    <author>Steve Tilson</author>
  </authors>
  <commentList>
    <comment ref="P9" authorId="0">
      <text>
        <r>
          <rPr>
            <b/>
            <sz val="9"/>
            <color indexed="81"/>
            <rFont val="Tahoma"/>
            <family val="2"/>
          </rPr>
          <t>Differs from Ideal UW only when Ideal UW is out-of-range.</t>
        </r>
      </text>
    </comment>
  </commentList>
</comments>
</file>

<file path=xl/sharedStrings.xml><?xml version="1.0" encoding="utf-8"?>
<sst xmlns="http://schemas.openxmlformats.org/spreadsheetml/2006/main" count="1239" uniqueCount="369">
  <si>
    <t>Unit Weight</t>
  </si>
  <si>
    <t>Frequency</t>
  </si>
  <si>
    <t>Tension</t>
  </si>
  <si>
    <t>Pitch</t>
  </si>
  <si>
    <t>String</t>
  </si>
  <si>
    <t>PB022</t>
  </si>
  <si>
    <t>PB020</t>
  </si>
  <si>
    <t>PB023</t>
  </si>
  <si>
    <t>PB030</t>
  </si>
  <si>
    <t>PB024</t>
  </si>
  <si>
    <t>PB021</t>
  </si>
  <si>
    <t>PL012</t>
  </si>
  <si>
    <t>PL013</t>
  </si>
  <si>
    <t>PL017</t>
  </si>
  <si>
    <t>NW030</t>
  </si>
  <si>
    <t>NW068</t>
  </si>
  <si>
    <t>NW046</t>
  </si>
  <si>
    <t>NW070</t>
  </si>
  <si>
    <t>NW066</t>
  </si>
  <si>
    <t>NW064</t>
  </si>
  <si>
    <t>NW062</t>
  </si>
  <si>
    <t>NW060</t>
  </si>
  <si>
    <t>NW059</t>
  </si>
  <si>
    <t>NW056</t>
  </si>
  <si>
    <t>Note</t>
  </si>
  <si>
    <t>PL007</t>
  </si>
  <si>
    <t>PL008</t>
  </si>
  <si>
    <t>PL0085</t>
  </si>
  <si>
    <t>PL009</t>
  </si>
  <si>
    <t>PL0095</t>
  </si>
  <si>
    <t>PL010</t>
  </si>
  <si>
    <t>PL0105</t>
  </si>
  <si>
    <t>PL011</t>
  </si>
  <si>
    <t>PL0115</t>
  </si>
  <si>
    <t>B1</t>
  </si>
  <si>
    <t>C2</t>
  </si>
  <si>
    <t>C#2</t>
  </si>
  <si>
    <t>D2</t>
  </si>
  <si>
    <t>D#2</t>
  </si>
  <si>
    <t>E2</t>
  </si>
  <si>
    <t>F2</t>
  </si>
  <si>
    <t>F#2</t>
  </si>
  <si>
    <t>G2</t>
  </si>
  <si>
    <t>G#2</t>
  </si>
  <si>
    <t>A2</t>
  </si>
  <si>
    <t>A#2</t>
  </si>
  <si>
    <t>B2</t>
  </si>
  <si>
    <t>C3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</si>
  <si>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</si>
  <si>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</si>
  <si>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</si>
  <si>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</si>
  <si>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</si>
  <si>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</si>
  <si>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</si>
  <si>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</si>
  <si>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</si>
  <si>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</si>
  <si>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</si>
  <si>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</si>
  <si>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</si>
  <si>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</si>
  <si>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</si>
  <si>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</si>
  <si>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F4</t>
  </si>
  <si>
    <t>F#4</t>
  </si>
  <si>
    <t>G4</t>
  </si>
  <si>
    <t>PL014</t>
  </si>
  <si>
    <t>PL0135</t>
  </si>
  <si>
    <t>PL015</t>
  </si>
  <si>
    <t>PL016</t>
  </si>
  <si>
    <t>PL018</t>
  </si>
  <si>
    <t>PL019</t>
  </si>
  <si>
    <t>PL020</t>
  </si>
  <si>
    <t>PL022</t>
  </si>
  <si>
    <t>PL024</t>
  </si>
  <si>
    <t>PL026</t>
  </si>
  <si>
    <t>NW017</t>
  </si>
  <si>
    <t>NW018</t>
  </si>
  <si>
    <t>NW019</t>
  </si>
  <si>
    <t>NW020</t>
  </si>
  <si>
    <t>NW021</t>
  </si>
  <si>
    <t>NW022</t>
  </si>
  <si>
    <t>NW024</t>
  </si>
  <si>
    <t>NW026</t>
  </si>
  <si>
    <t>NW028</t>
  </si>
  <si>
    <t>NW032</t>
  </si>
  <si>
    <t>NW034</t>
  </si>
  <si>
    <t>NW036</t>
  </si>
  <si>
    <t>NW038</t>
  </si>
  <si>
    <t>NW039</t>
  </si>
  <si>
    <t>NW042</t>
  </si>
  <si>
    <t>NW044</t>
  </si>
  <si>
    <t>NW048</t>
  </si>
  <si>
    <t>NW049</t>
  </si>
  <si>
    <t>NW052</t>
  </si>
  <si>
    <t>NW054</t>
  </si>
  <si>
    <t>NW072</t>
  </si>
  <si>
    <t>NW074</t>
  </si>
  <si>
    <t>NW080</t>
  </si>
  <si>
    <t>PB025</t>
  </si>
  <si>
    <t>PB026</t>
  </si>
  <si>
    <t>PB027</t>
  </si>
  <si>
    <t>PB029</t>
  </si>
  <si>
    <t>PB032</t>
  </si>
  <si>
    <t>PB034</t>
  </si>
  <si>
    <t>PB035</t>
  </si>
  <si>
    <t>PB036</t>
  </si>
  <si>
    <t>PB039</t>
  </si>
  <si>
    <t>PB042</t>
  </si>
  <si>
    <t>PB045</t>
  </si>
  <si>
    <t>PB047</t>
  </si>
  <si>
    <t>PB049</t>
  </si>
  <si>
    <t>PB052</t>
  </si>
  <si>
    <t>PB053</t>
  </si>
  <si>
    <t>PB056</t>
  </si>
  <si>
    <t>PB059</t>
  </si>
  <si>
    <t>PB060</t>
  </si>
  <si>
    <t>PB062</t>
  </si>
  <si>
    <t>PB064</t>
  </si>
  <si>
    <t>PB066</t>
  </si>
  <si>
    <t>PB070</t>
  </si>
  <si>
    <t xml:space="preserve"> </t>
  </si>
  <si>
    <t>A#1</t>
  </si>
  <si>
    <t>A1</t>
  </si>
  <si>
    <t>G#1</t>
  </si>
  <si>
    <t>G1</t>
  </si>
  <si>
    <t>F#1</t>
  </si>
  <si>
    <t>F1</t>
  </si>
  <si>
    <t>E1</t>
  </si>
  <si>
    <t>D#1</t>
  </si>
  <si>
    <t>D1</t>
  </si>
  <si>
    <t>C#1</t>
  </si>
  <si>
    <t>C1</t>
  </si>
  <si>
    <t>B0</t>
  </si>
  <si>
    <t>A0</t>
  </si>
  <si>
    <t>A#0</t>
  </si>
  <si>
    <t>String 1</t>
  </si>
  <si>
    <t>String 2</t>
  </si>
  <si>
    <t>String 8</t>
  </si>
  <si>
    <t>String 7</t>
  </si>
  <si>
    <t>String 6</t>
  </si>
  <si>
    <t>String 5</t>
  </si>
  <si>
    <t>String 4</t>
  </si>
  <si>
    <t>String 3</t>
  </si>
  <si>
    <t>String 9</t>
  </si>
  <si>
    <t>String 10</t>
  </si>
  <si>
    <t>String 11</t>
  </si>
  <si>
    <t>String 12</t>
  </si>
  <si>
    <t>String Model</t>
  </si>
  <si>
    <t>Electric</t>
  </si>
  <si>
    <t>Acoustic</t>
  </si>
  <si>
    <t>PB028</t>
  </si>
  <si>
    <t>PB054</t>
  </si>
  <si>
    <t>Plain</t>
  </si>
  <si>
    <t>Nearest Match</t>
  </si>
  <si>
    <t>High Match</t>
  </si>
  <si>
    <t>Low Match</t>
  </si>
  <si>
    <t>middle C</t>
  </si>
  <si>
    <t>Offset</t>
  </si>
  <si>
    <t>Note #</t>
  </si>
  <si>
    <t>G#4</t>
  </si>
  <si>
    <t>G#0</t>
  </si>
  <si>
    <t>G0</t>
  </si>
  <si>
    <t>F#0</t>
  </si>
  <si>
    <t>F0</t>
  </si>
  <si>
    <t>E0</t>
  </si>
  <si>
    <t>D#0</t>
  </si>
  <si>
    <t>D0</t>
  </si>
  <si>
    <t>C#0</t>
  </si>
  <si>
    <t>C0</t>
  </si>
  <si>
    <t>C</t>
  </si>
  <si>
    <t>C#</t>
  </si>
  <si>
    <t>D</t>
  </si>
  <si>
    <t>D#</t>
  </si>
  <si>
    <t>E</t>
  </si>
  <si>
    <t>F</t>
  </si>
  <si>
    <t>F#</t>
  </si>
  <si>
    <t>G</t>
  </si>
  <si>
    <t>G#</t>
  </si>
  <si>
    <t>A</t>
  </si>
  <si>
    <t>A#</t>
  </si>
  <si>
    <t>B</t>
  </si>
  <si>
    <t>A4</t>
  </si>
  <si>
    <t>A#4</t>
  </si>
  <si>
    <t>B4</t>
  </si>
  <si>
    <t>C5</t>
  </si>
  <si>
    <t>C#5</t>
  </si>
  <si>
    <t>D5</t>
  </si>
  <si>
    <t>D#5</t>
  </si>
  <si>
    <t>E5</t>
  </si>
  <si>
    <t>F5</t>
  </si>
  <si>
    <t>F#5</t>
  </si>
  <si>
    <t>G5</t>
  </si>
  <si>
    <t>G#5</t>
  </si>
  <si>
    <t>A5</t>
  </si>
  <si>
    <t>A#5</t>
  </si>
  <si>
    <t>C6</t>
  </si>
  <si>
    <t>C#6</t>
  </si>
  <si>
    <t>D6</t>
  </si>
  <si>
    <t>D#6</t>
  </si>
  <si>
    <t>E6</t>
  </si>
  <si>
    <t>F6</t>
  </si>
  <si>
    <t>F#6</t>
  </si>
  <si>
    <t>G6</t>
  </si>
  <si>
    <t>G#6</t>
  </si>
  <si>
    <t>A6</t>
  </si>
  <si>
    <t>A#6</t>
  </si>
  <si>
    <t>C7</t>
  </si>
  <si>
    <t>C#7</t>
  </si>
  <si>
    <t>D7</t>
  </si>
  <si>
    <t>D#7</t>
  </si>
  <si>
    <t>E7</t>
  </si>
  <si>
    <t>F7</t>
  </si>
  <si>
    <t>F#7</t>
  </si>
  <si>
    <t>G7</t>
  </si>
  <si>
    <t>G#7</t>
  </si>
  <si>
    <t>A7</t>
  </si>
  <si>
    <t>A#7</t>
  </si>
  <si>
    <t>B5</t>
  </si>
  <si>
    <t>B6</t>
  </si>
  <si>
    <t>B7</t>
  </si>
  <si>
    <t>C8</t>
  </si>
  <si>
    <t>C#8</t>
  </si>
  <si>
    <t>D8</t>
  </si>
  <si>
    <t>D#8</t>
  </si>
  <si>
    <t>E8</t>
  </si>
  <si>
    <t>F8</t>
  </si>
  <si>
    <t>F#8</t>
  </si>
  <si>
    <t>G8</t>
  </si>
  <si>
    <t>G#8</t>
  </si>
  <si>
    <t>A8</t>
  </si>
  <si>
    <t>A#8</t>
  </si>
  <si>
    <t>B8</t>
  </si>
  <si>
    <t>Note Number Reference</t>
  </si>
  <si>
    <t>Middle C</t>
  </si>
  <si>
    <t>reference</t>
  </si>
  <si>
    <t>Note to Frequency Values</t>
  </si>
  <si>
    <t>Center Pitch Note #</t>
  </si>
  <si>
    <t>Center Pitch</t>
  </si>
  <si>
    <t>Manual Tension Calculator</t>
  </si>
  <si>
    <t>Automated Balanced-Tension Calculator</t>
  </si>
  <si>
    <t>Tension Offset Factor</t>
  </si>
  <si>
    <t>Phoshpor Bronze</t>
  </si>
  <si>
    <t>80/20s - Bronze</t>
  </si>
  <si>
    <t>PL-Series</t>
  </si>
  <si>
    <t>NW-Series</t>
  </si>
  <si>
    <t>PB-Series</t>
  </si>
  <si>
    <t>BW-Series</t>
  </si>
  <si>
    <t>BW020</t>
  </si>
  <si>
    <t>BW021</t>
  </si>
  <si>
    <t>BW022</t>
  </si>
  <si>
    <t>BW023</t>
  </si>
  <si>
    <t>BW024</t>
  </si>
  <si>
    <t>BW025</t>
  </si>
  <si>
    <t>BW026</t>
  </si>
  <si>
    <t>BW027</t>
  </si>
  <si>
    <t>BW029</t>
  </si>
  <si>
    <t>BW030</t>
  </si>
  <si>
    <t>BW032</t>
  </si>
  <si>
    <t>BW034</t>
  </si>
  <si>
    <t>BW035</t>
  </si>
  <si>
    <t>BW036</t>
  </si>
  <si>
    <t>BW039</t>
  </si>
  <si>
    <t>BW042</t>
  </si>
  <si>
    <t>BW045</t>
  </si>
  <si>
    <t>BW047</t>
  </si>
  <si>
    <t>BW049</t>
  </si>
  <si>
    <t>BW052</t>
  </si>
  <si>
    <t>BW053</t>
  </si>
  <si>
    <t>BW056</t>
  </si>
  <si>
    <t>BW059</t>
  </si>
  <si>
    <t>BW Mass to String</t>
  </si>
  <si>
    <t>PL Mass to String</t>
  </si>
  <si>
    <t>NW Mass to String</t>
  </si>
  <si>
    <t>PB Mass to String</t>
  </si>
  <si>
    <t>PL String to Mass</t>
  </si>
  <si>
    <t>NW String to Mass</t>
  </si>
  <si>
    <t>PB String to Mass</t>
  </si>
  <si>
    <t>BW String to Mass</t>
  </si>
  <si>
    <t>Pre-packaged String Sets</t>
  </si>
  <si>
    <t>Electric &amp; Acoustic</t>
  </si>
  <si>
    <t>NW025</t>
  </si>
  <si>
    <t>NW037</t>
  </si>
  <si>
    <t>NW050</t>
  </si>
  <si>
    <t>NW040</t>
  </si>
  <si>
    <t>PB016</t>
  </si>
  <si>
    <t>PB017</t>
  </si>
  <si>
    <t>PB038</t>
  </si>
  <si>
    <t>PB040</t>
  </si>
  <si>
    <t>PB044</t>
  </si>
  <si>
    <t>PB046</t>
  </si>
  <si>
    <t>PB048</t>
  </si>
  <si>
    <t>PB050</t>
  </si>
  <si>
    <t>PB058</t>
  </si>
  <si>
    <t>PB068</t>
  </si>
  <si>
    <t>PB076</t>
  </si>
  <si>
    <t>BW031</t>
  </si>
  <si>
    <t>BW037</t>
  </si>
  <si>
    <t>BW038</t>
  </si>
  <si>
    <t>BW040</t>
  </si>
  <si>
    <t>BW044</t>
  </si>
  <si>
    <t>BW046</t>
  </si>
  <si>
    <t>BW048</t>
  </si>
  <si>
    <t>BW050</t>
  </si>
  <si>
    <t>BW055</t>
  </si>
  <si>
    <t>BW060</t>
  </si>
  <si>
    <t>PL0125</t>
  </si>
  <si>
    <t>PL0155</t>
  </si>
  <si>
    <t>PL0165</t>
  </si>
  <si>
    <t>PL021</t>
  </si>
  <si>
    <t>String Family</t>
  </si>
  <si>
    <t>Six-String Guitar</t>
  </si>
  <si>
    <t>Nickel-Wound</t>
  </si>
  <si>
    <t>Twelve-String Guitar</t>
  </si>
  <si>
    <t>Wound</t>
  </si>
  <si>
    <t>Reference Calculator for Pre-Packaged Sets</t>
  </si>
  <si>
    <t>Phosphor Bronze (PB)</t>
  </si>
  <si>
    <t>80/20 Bronze (BW)</t>
  </si>
  <si>
    <t>Nickel-plated Steel (NW)</t>
  </si>
  <si>
    <t>EJ23 9-45 Super Light</t>
  </si>
  <si>
    <t>EJ15 10-47 Extra Light</t>
  </si>
  <si>
    <t>EJ16 12-53 Light</t>
  </si>
  <si>
    <t>EJ17 13-56 Medium</t>
  </si>
  <si>
    <t>EJ18 14-59 Heavy</t>
  </si>
  <si>
    <t>EJ26 11-52 Custom Light</t>
  </si>
  <si>
    <t>EJ38 10-47 Light</t>
  </si>
  <si>
    <t>EJ39 12-52 Medium</t>
  </si>
  <si>
    <t>EJ41 9-45 Extra Light</t>
  </si>
  <si>
    <t>EJ10 10-47 Extra Light</t>
  </si>
  <si>
    <t>EJ11 12-53 Light</t>
  </si>
  <si>
    <t>EJ12 13-56 Medium</t>
  </si>
  <si>
    <t>EJ13 11-52 Custom Light</t>
  </si>
  <si>
    <t>EJ36 10-47 Light</t>
  </si>
  <si>
    <t>EXL110 10-46 Light</t>
  </si>
  <si>
    <t>EXL115 11-49 Medium</t>
  </si>
  <si>
    <t>EXL120 9-42 Super Light</t>
  </si>
  <si>
    <t>EXL150 10-46 Light</t>
  </si>
  <si>
    <t>String Set</t>
  </si>
  <si>
    <t>EXL120BT 9-40 Super Light Balanced</t>
  </si>
  <si>
    <t>EXL110BT 10-46 Light Balanced</t>
  </si>
  <si>
    <t>EXL115BT 11-50 Medium Balanced</t>
  </si>
  <si>
    <t>EXL140 10-52 Light Top/Heavy Bottom</t>
  </si>
  <si>
    <t>PBSet6</t>
  </si>
  <si>
    <t>PBSet12</t>
  </si>
  <si>
    <t>BWSet6</t>
  </si>
  <si>
    <t>NWSet6</t>
  </si>
  <si>
    <t>EJ19 12-56 Light Top/Medium Bottom</t>
  </si>
  <si>
    <t>EJ37 12-54 Medium Top/Heavy Bottom</t>
  </si>
  <si>
    <t>EJ14 12-56 Light Top/Medium Bottom</t>
  </si>
  <si>
    <t>EJ19 12-56 Light Top / Medium Bottom</t>
  </si>
  <si>
    <t>EJ37 12-54 Medium Top / Heavy Bottom</t>
  </si>
  <si>
    <t>EJ14 12-56 Light Top / Medium Bottom</t>
  </si>
  <si>
    <t>EXL140 10-52 Light Top / Heavy Bottom</t>
  </si>
  <si>
    <t>Target Tension</t>
  </si>
  <si>
    <t>lbs.</t>
  </si>
  <si>
    <t>PB</t>
  </si>
  <si>
    <t>Scale (in)</t>
  </si>
  <si>
    <t>Tension/Course</t>
  </si>
  <si>
    <t>Range</t>
  </si>
  <si>
    <t>Total</t>
  </si>
  <si>
    <t>Average</t>
  </si>
  <si>
    <t>Target Range</t>
  </si>
  <si>
    <t>Pitch and Note Data</t>
  </si>
  <si>
    <t>String Model and Mass Data</t>
  </si>
  <si>
    <t>String Unit Weight (lb/in)</t>
  </si>
  <si>
    <t>String Unit Weight (UW)</t>
  </si>
  <si>
    <t>Ideal UW</t>
  </si>
  <si>
    <t>Target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</si>
</sst>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0"/>
    <numFmt numFmtId="166" formatCode="0.00000000"/>
    <numFmt numFmtId="167" formatCode="0.0000"/>
    <numFmt numFmtId="168" formatCode="0.000"/>
    <numFmt numFmtId="169" formatCode="0.0%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b/>
      <sz val="18"/>
      <color rgb="FF00B050"/>
      <name val="Arial"/>
      <family val="2"/>
    </font>
    <font>
      <b/>
      <sz val="12"/>
      <color rgb="FF00B050"/>
      <name val="Arial"/>
      <family val="2"/>
    </font>
    <font>
      <i/>
      <sz val="11"/>
      <color rgb="FF7F7F7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10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64" fontId="0" fillId="0" borderId="0" xfId="0" applyNumberFormat="1"/>
    <xf numFmtId="166" fontId="0" fillId="0" borderId="0" xfId="0" applyNumberFormat="1"/>
    <xf numFmtId="0" fontId="2" fillId="0" borderId="0" xfId="0" applyFont="1"/>
    <xf numFmtId="167" fontId="0" fillId="0" borderId="0" xfId="0" applyNumberFormat="1"/>
    <xf numFmtId="2" fontId="0" fillId="0" borderId="0" xfId="0" applyNumberFormat="1"/>
    <xf numFmtId="2" fontId="4" fillId="0" borderId="0" xfId="0" applyNumberFormat="1" applyFont="1"/>
    <xf numFmtId="166" fontId="5" fillId="0" borderId="0" xfId="0" applyNumberFormat="1" applyFont="1"/>
    <xf numFmtId="0" fontId="0" fillId="0" borderId="0" xfId="0" quotePrefix="1"/>
    <xf numFmtId="2" fontId="4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/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6" fontId="8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/>
    <xf numFmtId="0" fontId="11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0" fillId="2" borderId="0" xfId="0" quotePrefix="1" applyFill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2" fillId="2" borderId="0" xfId="0" quotePrefix="1" applyFont="1" applyFill="1"/>
    <xf numFmtId="166" fontId="2" fillId="2" borderId="0" xfId="0" quotePrefix="1" applyNumberFormat="1" applyFont="1" applyFill="1"/>
    <xf numFmtId="2" fontId="0" fillId="2" borderId="0" xfId="0" applyNumberFormat="1" applyFill="1"/>
    <xf numFmtId="0" fontId="2" fillId="2" borderId="0" xfId="0" applyFont="1" applyFill="1"/>
    <xf numFmtId="164" fontId="0" fillId="2" borderId="0" xfId="0" quotePrefix="1" applyNumberFormat="1" applyFill="1"/>
    <xf numFmtId="0" fontId="2" fillId="2" borderId="0" xfId="0" quotePrefix="1" applyFont="1" applyFill="1" applyAlignment="1">
      <alignment horizontal="left"/>
    </xf>
    <xf numFmtId="0" fontId="4" fillId="2" borderId="0" xfId="0" applyFont="1" applyFill="1"/>
    <xf numFmtId="0" fontId="0" fillId="3" borderId="0" xfId="0" applyFill="1"/>
    <xf numFmtId="0" fontId="4" fillId="3" borderId="0" xfId="0" applyFont="1" applyFill="1" applyAlignment="1">
      <alignment horizontal="center"/>
    </xf>
    <xf numFmtId="2" fontId="7" fillId="3" borderId="0" xfId="0" applyNumberFormat="1" applyFont="1" applyFill="1"/>
    <xf numFmtId="0" fontId="7" fillId="3" borderId="0" xfId="0" applyFont="1" applyFill="1"/>
    <xf numFmtId="1" fontId="0" fillId="3" borderId="0" xfId="0" quotePrefix="1" applyNumberFormat="1" applyFill="1"/>
    <xf numFmtId="0" fontId="0" fillId="3" borderId="0" xfId="0" applyFill="1" applyAlignment="1">
      <alignment horizontal="right"/>
    </xf>
    <xf numFmtId="0" fontId="6" fillId="3" borderId="0" xfId="0" applyFont="1" applyFill="1"/>
    <xf numFmtId="0" fontId="0" fillId="3" borderId="0" xfId="0" applyFill="1" applyAlignment="1">
      <alignment horizontal="center"/>
    </xf>
    <xf numFmtId="168" fontId="4" fillId="3" borderId="0" xfId="0" applyNumberFormat="1" applyFont="1" applyFill="1"/>
    <xf numFmtId="0" fontId="0" fillId="3" borderId="0" xfId="0" quotePrefix="1" applyFill="1"/>
    <xf numFmtId="165" fontId="4" fillId="3" borderId="0" xfId="0" applyNumberFormat="1" applyFont="1" applyFill="1" applyAlignment="1">
      <alignment horizontal="center"/>
    </xf>
    <xf numFmtId="0" fontId="4" fillId="3" borderId="0" xfId="0" applyFont="1" applyFill="1"/>
    <xf numFmtId="164" fontId="0" fillId="3" borderId="0" xfId="0" applyNumberFormat="1" applyFill="1"/>
    <xf numFmtId="2" fontId="6" fillId="3" borderId="0" xfId="0" applyNumberFormat="1" applyFont="1" applyFill="1"/>
    <xf numFmtId="169" fontId="0" fillId="3" borderId="0" xfId="0" applyNumberFormat="1" applyFill="1"/>
    <xf numFmtId="2" fontId="0" fillId="3" borderId="0" xfId="0" applyNumberFormat="1" applyFill="1"/>
    <xf numFmtId="166" fontId="0" fillId="3" borderId="0" xfId="0" applyNumberFormat="1" applyFill="1"/>
    <xf numFmtId="166" fontId="2" fillId="3" borderId="0" xfId="0" quotePrefix="1" applyNumberFormat="1" applyFont="1" applyFill="1"/>
    <xf numFmtId="0" fontId="9" fillId="3" borderId="0" xfId="0" applyFont="1" applyFill="1"/>
    <xf numFmtId="167" fontId="0" fillId="3" borderId="0" xfId="0" applyNumberFormat="1" applyFill="1"/>
    <xf numFmtId="0" fontId="4" fillId="3" borderId="0" xfId="0" applyFont="1" applyFill="1" applyAlignment="1">
      <alignment horizontal="right"/>
    </xf>
    <xf numFmtId="2" fontId="4" fillId="3" borderId="0" xfId="0" applyNumberFormat="1" applyFont="1" applyFill="1"/>
    <xf numFmtId="2" fontId="2" fillId="3" borderId="0" xfId="0" applyNumberFormat="1" applyFont="1" applyFill="1"/>
    <xf numFmtId="0" fontId="2" fillId="3" borderId="0" xfId="0" applyFont="1" applyFill="1"/>
    <xf numFmtId="0" fontId="12" fillId="3" borderId="0" xfId="0" applyFont="1" applyFill="1" applyAlignment="1">
      <alignment horizontal="center"/>
    </xf>
    <xf numFmtId="2" fontId="2" fillId="3" borderId="0" xfId="0" quotePrefix="1" applyNumberFormat="1" applyFont="1" applyFill="1" applyAlignment="1">
      <alignment horizontal="right"/>
    </xf>
    <xf numFmtId="2" fontId="6" fillId="3" borderId="0" xfId="0" applyNumberFormat="1" applyFont="1" applyFill="1" applyAlignment="1">
      <alignment horizontal="right"/>
    </xf>
    <xf numFmtId="2" fontId="2" fillId="3" borderId="0" xfId="0" quotePrefix="1" applyNumberFormat="1" applyFont="1" applyFill="1"/>
    <xf numFmtId="2" fontId="0" fillId="3" borderId="0" xfId="0" applyNumberFormat="1" applyFill="1" applyAlignment="1">
      <alignment horizontal="right"/>
    </xf>
    <xf numFmtId="0" fontId="2" fillId="3" borderId="0" xfId="0" applyFont="1" applyFill="1" applyAlignment="1">
      <alignment horizontal="center"/>
    </xf>
    <xf numFmtId="0" fontId="2" fillId="3" borderId="0" xfId="2" applyFont="1" applyFill="1" applyBorder="1" applyAlignment="1">
      <alignment horizontal="center"/>
    </xf>
    <xf numFmtId="166" fontId="2" fillId="3" borderId="0" xfId="2" applyNumberFormat="1" applyFont="1" applyFill="1" applyBorder="1"/>
    <xf numFmtId="2" fontId="2" fillId="3" borderId="0" xfId="2" applyNumberFormat="1" applyFont="1" applyFill="1" applyBorder="1"/>
    <xf numFmtId="169" fontId="2" fillId="3" borderId="0" xfId="2" applyNumberFormat="1" applyFont="1" applyFill="1" applyBorder="1"/>
    <xf numFmtId="166" fontId="2" fillId="3" borderId="0" xfId="2" quotePrefix="1" applyNumberFormat="1" applyFont="1" applyFill="1" applyBorder="1"/>
    <xf numFmtId="166" fontId="2" fillId="3" borderId="0" xfId="0" applyNumberFormat="1" applyFont="1" applyFill="1"/>
    <xf numFmtId="168" fontId="2" fillId="3" borderId="0" xfId="2" applyNumberFormat="1" applyFont="1" applyFill="1" applyBorder="1" applyAlignment="1"/>
    <xf numFmtId="0" fontId="8" fillId="3" borderId="0" xfId="0" applyFont="1" applyFill="1" applyAlignment="1" applyProtection="1">
      <alignment horizontal="center"/>
      <protection locked="0"/>
    </xf>
    <xf numFmtId="0" fontId="7" fillId="3" borderId="0" xfId="0" applyFont="1" applyFill="1" applyProtection="1">
      <protection locked="0"/>
    </xf>
    <xf numFmtId="9" fontId="8" fillId="3" borderId="0" xfId="0" applyNumberFormat="1" applyFont="1" applyFill="1" applyProtection="1">
      <protection locked="0"/>
    </xf>
    <xf numFmtId="0" fontId="8" fillId="3" borderId="0" xfId="0" applyFont="1" applyFill="1" applyProtection="1">
      <protection locked="0"/>
    </xf>
    <xf numFmtId="2" fontId="8" fillId="3" borderId="0" xfId="0" applyNumberFormat="1" applyFont="1" applyFill="1" applyProtection="1">
      <protection locked="0"/>
    </xf>
    <xf numFmtId="0" fontId="4" fillId="0" borderId="0" xfId="0" applyFont="1" applyAlignment="1">
      <alignment horizontal="center"/>
    </xf>
    <xf numFmtId="166" fontId="2" fillId="0" borderId="0" xfId="0" applyNumberFormat="1" applyFont="1"/>
    <xf numFmtId="0" fontId="0" fillId="0" borderId="0" xfId="0" applyFill="1"/>
    <xf numFmtId="0" fontId="4" fillId="0" borderId="0" xfId="0" applyFont="1" applyAlignment="1"/>
    <xf numFmtId="0" fontId="0" fillId="0" borderId="0" xfId="0" applyAlignment="1"/>
    <xf numFmtId="0" fontId="8" fillId="0" borderId="0" xfId="0" applyFont="1" applyAlignment="1"/>
    <xf numFmtId="0" fontId="2" fillId="0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/>
    <xf numFmtId="2" fontId="6" fillId="2" borderId="0" xfId="0" applyNumberFormat="1" applyFont="1" applyFill="1"/>
    <xf numFmtId="2" fontId="2" fillId="2" borderId="0" xfId="0" quotePrefix="1" applyNumberFormat="1" applyFont="1" applyFill="1" applyAlignment="1">
      <alignment horizontal="right"/>
    </xf>
    <xf numFmtId="2" fontId="6" fillId="2" borderId="0" xfId="0" applyNumberFormat="1" applyFont="1" applyFill="1" applyAlignment="1">
      <alignment horizontal="right"/>
    </xf>
    <xf numFmtId="2" fontId="4" fillId="2" borderId="0" xfId="0" applyNumberFormat="1" applyFont="1" applyFill="1"/>
    <xf numFmtId="2" fontId="2" fillId="2" borderId="0" xfId="0" applyNumberFormat="1" applyFont="1" applyFill="1"/>
    <xf numFmtId="0" fontId="4" fillId="3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9" fontId="8" fillId="3" borderId="0" xfId="0" applyNumberFormat="1" applyFont="1" applyFill="1" applyAlignment="1" applyProtection="1">
      <alignment horizontal="center"/>
      <protection locked="0"/>
    </xf>
    <xf numFmtId="0" fontId="6" fillId="3" borderId="0" xfId="0" applyFont="1" applyFill="1" applyAlignment="1">
      <alignment horizontal="left"/>
    </xf>
    <xf numFmtId="0" fontId="4" fillId="4" borderId="0" xfId="2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Explanatory Text" xfId="2" builtinId="5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4E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10</xdr:col>
          <xdr:colOff>457200</xdr:colOff>
          <xdr:row>160</xdr:row>
          <xdr:rowOff>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1</xdr:row>
      <xdr:rowOff>28575</xdr:rowOff>
    </xdr:from>
    <xdr:to>
      <xdr:col>3</xdr:col>
      <xdr:colOff>457199</xdr:colOff>
      <xdr:row>6</xdr:row>
      <xdr:rowOff>3810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1924" y="323850"/>
          <a:ext cx="2124075" cy="82296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 extrusionH="76200">
          <a:bevelT/>
          <a:extrusionClr>
            <a:schemeClr val="bg2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String Families</a:t>
          </a:r>
        </a:p>
        <a:p>
          <a:r>
            <a:rPr lang="en-US" sz="1100" b="1">
              <a:solidFill>
                <a:srgbClr val="FF0000"/>
              </a:solidFill>
            </a:rPr>
            <a:t>BW</a:t>
          </a:r>
          <a:r>
            <a:rPr lang="en-US" sz="1100"/>
            <a:t> = 80/20 Bronze (acoustic)</a:t>
          </a:r>
        </a:p>
        <a:p>
          <a:r>
            <a:rPr lang="en-US" sz="1100" b="1">
              <a:solidFill>
                <a:srgbClr val="FF0000"/>
              </a:solidFill>
            </a:rPr>
            <a:t>NW</a:t>
          </a:r>
          <a:r>
            <a:rPr lang="en-US" sz="1100"/>
            <a:t> = Nickel-plated steel (electric)</a:t>
          </a:r>
        </a:p>
        <a:p>
          <a:r>
            <a:rPr lang="en-US" sz="1100" b="1">
              <a:solidFill>
                <a:srgbClr val="FF0000"/>
              </a:solidFill>
            </a:rPr>
            <a:t>PB</a:t>
          </a:r>
          <a:r>
            <a:rPr lang="en-US" sz="1100"/>
            <a:t> =</a:t>
          </a:r>
          <a:r>
            <a:rPr lang="en-US" sz="1100" baseline="0"/>
            <a:t> Phosphor Bronze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(acoustic)</a:t>
          </a:r>
          <a:endParaRPr lang="en-US" sz="1100"/>
        </a:p>
      </xdr:txBody>
    </xdr:sp>
    <xdr:clientData/>
  </xdr:twoCellAnchor>
  <xdr:twoCellAnchor editAs="oneCell">
    <xdr:from>
      <xdr:col>0</xdr:col>
      <xdr:colOff>161925</xdr:colOff>
      <xdr:row>8</xdr:row>
      <xdr:rowOff>19050</xdr:rowOff>
    </xdr:from>
    <xdr:to>
      <xdr:col>3</xdr:col>
      <xdr:colOff>457200</xdr:colOff>
      <xdr:row>10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61925" y="1485900"/>
          <a:ext cx="2124075" cy="457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 extrusionH="76200">
          <a:bevelT/>
          <a:extrusionClr>
            <a:schemeClr val="bg2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Reference Frequency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A</a:t>
          </a:r>
          <a:r>
            <a:rPr lang="en-US" sz="1100"/>
            <a:t> = 440 Hertz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161923</xdr:colOff>
      <xdr:row>1</xdr:row>
      <xdr:rowOff>28575</xdr:rowOff>
    </xdr:from>
    <xdr:to>
      <xdr:col>3</xdr:col>
      <xdr:colOff>457200</xdr:colOff>
      <xdr:row>6</xdr:row>
      <xdr:rowOff>3810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61923" y="323850"/>
          <a:ext cx="2124077" cy="82296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 extrusionH="76200">
          <a:bevelT/>
          <a:extrusionClr>
            <a:schemeClr val="bg2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String Families</a:t>
          </a:r>
        </a:p>
        <a:p>
          <a:r>
            <a:rPr lang="en-US" sz="1100" b="1">
              <a:solidFill>
                <a:srgbClr val="FF0000"/>
              </a:solidFill>
            </a:rPr>
            <a:t>BW</a:t>
          </a:r>
          <a:r>
            <a:rPr lang="en-US" sz="1100"/>
            <a:t> = 80/20 Bronze (acoustic)</a:t>
          </a:r>
        </a:p>
        <a:p>
          <a:r>
            <a:rPr lang="en-US" sz="1100" b="1">
              <a:solidFill>
                <a:srgbClr val="FF0000"/>
              </a:solidFill>
            </a:rPr>
            <a:t>NW</a:t>
          </a:r>
          <a:r>
            <a:rPr lang="en-US" sz="1100"/>
            <a:t> = Nickel-plated steel (electric)</a:t>
          </a:r>
        </a:p>
        <a:p>
          <a:r>
            <a:rPr lang="en-US" sz="1100" b="1">
              <a:solidFill>
                <a:srgbClr val="FF0000"/>
              </a:solidFill>
            </a:rPr>
            <a:t>PB</a:t>
          </a:r>
          <a:r>
            <a:rPr lang="en-US" sz="1100"/>
            <a:t> =</a:t>
          </a:r>
          <a:r>
            <a:rPr lang="en-US" sz="1100" baseline="0"/>
            <a:t> Phosphor Bronze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(acoustic)</a:t>
          </a:r>
          <a:endParaRPr lang="en-US" sz="1100"/>
        </a:p>
      </xdr:txBody>
    </xdr:sp>
    <xdr:clientData/>
  </xdr:twoCellAnchor>
  <xdr:twoCellAnchor editAs="oneCell">
    <xdr:from>
      <xdr:col>0</xdr:col>
      <xdr:colOff>161925</xdr:colOff>
      <xdr:row>8</xdr:row>
      <xdr:rowOff>19050</xdr:rowOff>
    </xdr:from>
    <xdr:to>
      <xdr:col>3</xdr:col>
      <xdr:colOff>457200</xdr:colOff>
      <xdr:row>10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61925" y="1485900"/>
          <a:ext cx="2124075" cy="457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 extrusionH="76200">
          <a:bevelT/>
          <a:extrusionClr>
            <a:schemeClr val="bg2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Reference Frequency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A</a:t>
          </a:r>
          <a:r>
            <a:rPr lang="en-US" sz="1100"/>
            <a:t> = 440 Hertz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9523</xdr:colOff>
      <xdr:row>5</xdr:row>
      <xdr:rowOff>123827</xdr:rowOff>
    </xdr:from>
    <xdr:to>
      <xdr:col>21</xdr:col>
      <xdr:colOff>257174</xdr:colOff>
      <xdr:row>7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0563223" y="933452"/>
          <a:ext cx="2686051" cy="285748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 Number = 69+12log</a:t>
          </a:r>
          <a:r>
            <a:rPr lang="en-US" sz="1100" baseline="-25000"/>
            <a:t>2</a:t>
          </a:r>
          <a:r>
            <a:rPr lang="en-US" sz="1100"/>
            <a:t>(frequency/440)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"/>
  <sheetViews>
    <sheetView showGridLines="0" tabSelected="1" workbookViewId="0"/>
  </sheetViews>
  <sheetFormatPr defaultRowHeight="12.75" x14ac:dyDescent="0.2"/>
  <cols>
    <col min="1" max="16384" width="9.140625" style="77"/>
  </cols>
  <sheetData>
    <row r="1" spans="1:1" x14ac:dyDescent="0.2">
      <c r="A1" s="81"/>
    </row>
  </sheetData>
  <sheetProtection password="AEEB" sheet="1" objects="1" scenarios="1"/>
  <pageMargins left="0.7" right="0.7" top="0.5" bottom="0.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19457" r:id="rId4">
          <objectPr defaultSize="0" autoPict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10</xdr:col>
                <xdr:colOff>457200</xdr:colOff>
                <xdr:row>160</xdr:row>
                <xdr:rowOff>0</xdr:rowOff>
              </to>
            </anchor>
          </objectPr>
        </oleObject>
      </mc:Choice>
      <mc:Fallback>
        <oleObject progId="Document" shapeId="1945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E1:U68"/>
  <sheetViews>
    <sheetView workbookViewId="0">
      <selection activeCell="F6" sqref="F6"/>
    </sheetView>
  </sheetViews>
  <sheetFormatPr defaultColWidth="9.140625" defaultRowHeight="12.75" x14ac:dyDescent="0.2"/>
  <cols>
    <col min="1" max="5" width="9.140625" style="21"/>
    <col min="6" max="7" width="9.140625" style="21" customWidth="1"/>
    <col min="8" max="8" width="12.5703125" style="21" bestFit="1" customWidth="1"/>
    <col min="9" max="9" width="9.5703125" style="21" bestFit="1" customWidth="1"/>
    <col min="10" max="10" width="10.5703125" style="21" bestFit="1" customWidth="1"/>
    <col min="11" max="11" width="9.140625" style="21" customWidth="1"/>
    <col min="12" max="12" width="3.7109375" style="21" customWidth="1"/>
    <col min="13" max="13" width="9.140625" style="21" customWidth="1"/>
    <col min="14" max="14" width="13.28515625" style="21" bestFit="1" customWidth="1"/>
    <col min="15" max="15" width="12" style="21" bestFit="1" customWidth="1"/>
    <col min="16" max="16" width="12.5703125" style="21" bestFit="1" customWidth="1"/>
    <col min="17" max="18" width="10.5703125" style="21" bestFit="1" customWidth="1"/>
    <col min="19" max="19" width="13.28515625" style="21" bestFit="1" customWidth="1"/>
    <col min="20" max="16384" width="9.140625" style="21"/>
  </cols>
  <sheetData>
    <row r="1" spans="5:21" ht="23.25" x14ac:dyDescent="0.35">
      <c r="E1" s="90" t="s">
        <v>312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20"/>
    </row>
    <row r="3" spans="5:21" ht="15.75" x14ac:dyDescent="0.25">
      <c r="E3" s="91" t="s">
        <v>241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</row>
    <row r="4" spans="5:21" x14ac:dyDescent="0.2">
      <c r="E4" s="33"/>
      <c r="F4" s="33"/>
      <c r="G4" s="33"/>
      <c r="H4" s="34"/>
      <c r="I4" s="34"/>
      <c r="J4" s="34"/>
      <c r="K4" s="33"/>
      <c r="L4" s="33"/>
      <c r="M4" s="33"/>
      <c r="N4" s="33"/>
      <c r="O4" s="33"/>
      <c r="P4" s="33"/>
      <c r="Q4" s="33"/>
      <c r="R4" s="33"/>
      <c r="S4" s="33"/>
    </row>
    <row r="5" spans="5:21" x14ac:dyDescent="0.2">
      <c r="E5" s="92" t="s">
        <v>311</v>
      </c>
      <c r="F5" s="92"/>
      <c r="G5" s="92"/>
      <c r="H5" s="33"/>
      <c r="I5" s="34"/>
      <c r="J5" s="33"/>
      <c r="K5" s="53" t="s">
        <v>354</v>
      </c>
      <c r="L5" s="33"/>
      <c r="M5" s="72">
        <v>0</v>
      </c>
      <c r="N5" s="83" t="s">
        <v>242</v>
      </c>
      <c r="O5" s="83"/>
      <c r="P5" s="33"/>
      <c r="Q5" s="33"/>
      <c r="R5" s="33"/>
      <c r="S5" s="33"/>
    </row>
    <row r="6" spans="5:21" x14ac:dyDescent="0.2">
      <c r="E6" s="33"/>
      <c r="F6" s="70" t="s">
        <v>356</v>
      </c>
      <c r="G6" s="33"/>
      <c r="H6" s="33"/>
      <c r="I6" s="35"/>
      <c r="J6" s="33"/>
      <c r="K6" s="71">
        <v>135</v>
      </c>
      <c r="L6" s="44" t="s">
        <v>355</v>
      </c>
      <c r="M6" s="37">
        <f>ROUND(AVERAGE(VLOOKUP(MIN(J10:J15),Pitch!$A$58:$C$106,3,FALSE),(VLOOKUP(MAX(J10:J15),Pitch!$A$58:$C$106,3,FALSE))),0)</f>
        <v>52</v>
      </c>
      <c r="N6" s="94" t="s">
        <v>238</v>
      </c>
      <c r="O6" s="94"/>
      <c r="P6" s="33"/>
      <c r="Q6" s="33"/>
      <c r="R6" s="33"/>
      <c r="S6" s="33"/>
    </row>
    <row r="7" spans="5:21" x14ac:dyDescent="0.2">
      <c r="E7" s="33"/>
      <c r="F7" s="33"/>
      <c r="G7" s="33"/>
      <c r="H7" s="33"/>
      <c r="I7" s="33"/>
      <c r="J7" s="33"/>
      <c r="K7" s="33"/>
      <c r="L7" s="33"/>
      <c r="M7" s="38" t="str">
        <f>VLOOKUP(M6,Pitch!$G$58:$I$106,3,FALSE)</f>
        <v>E3</v>
      </c>
      <c r="N7" s="39" t="s">
        <v>239</v>
      </c>
      <c r="O7" s="33"/>
      <c r="P7" s="33"/>
      <c r="Q7" s="33"/>
      <c r="R7" s="33"/>
      <c r="S7" s="33"/>
    </row>
    <row r="8" spans="5:21" x14ac:dyDescent="0.2">
      <c r="E8" s="33"/>
      <c r="F8" s="40"/>
      <c r="G8" s="33"/>
      <c r="H8" s="33"/>
      <c r="I8" s="36"/>
      <c r="J8" s="36"/>
      <c r="K8" s="69"/>
      <c r="L8" s="69"/>
      <c r="M8" s="69"/>
      <c r="N8" s="69"/>
      <c r="O8" s="95" t="s">
        <v>366</v>
      </c>
      <c r="P8" s="95"/>
      <c r="Q8" s="95"/>
      <c r="R8" s="95"/>
      <c r="S8" s="95"/>
    </row>
    <row r="9" spans="5:21" x14ac:dyDescent="0.2">
      <c r="E9" s="33"/>
      <c r="F9" s="33"/>
      <c r="G9" s="89" t="s">
        <v>3</v>
      </c>
      <c r="H9" s="89" t="s">
        <v>149</v>
      </c>
      <c r="I9" s="34" t="s">
        <v>357</v>
      </c>
      <c r="J9" s="53" t="s">
        <v>1</v>
      </c>
      <c r="K9" s="53" t="s">
        <v>2</v>
      </c>
      <c r="L9" s="82"/>
      <c r="M9" s="63" t="s">
        <v>159</v>
      </c>
      <c r="N9" s="63" t="s">
        <v>354</v>
      </c>
      <c r="O9" s="63" t="s">
        <v>367</v>
      </c>
      <c r="P9" s="62" t="s">
        <v>368</v>
      </c>
      <c r="Q9" s="63" t="s">
        <v>156</v>
      </c>
      <c r="R9" s="63" t="s">
        <v>157</v>
      </c>
      <c r="S9" s="63" t="s">
        <v>155</v>
      </c>
    </row>
    <row r="10" spans="5:21" x14ac:dyDescent="0.2">
      <c r="E10" s="33"/>
      <c r="F10" s="43" t="s">
        <v>137</v>
      </c>
      <c r="G10" s="73" t="s">
        <v>63</v>
      </c>
      <c r="H10" s="44" t="str">
        <f>VLOOKUP(S10,String!$B$53:$C$78, 2, TRUE)</f>
        <v>PL012</v>
      </c>
      <c r="I10" s="74">
        <v>25.5</v>
      </c>
      <c r="J10" s="45">
        <f>VLOOKUP(G10, Pitch!$A$4:$B$52, 2, FALSE)</f>
        <v>329.62755691287043</v>
      </c>
      <c r="K10" s="65">
        <f t="shared" ref="K10:K15" si="0">S10*(2*I10*J10)^2/386.4</f>
        <v>23.331407594121345</v>
      </c>
      <c r="L10" s="65"/>
      <c r="M10" s="66">
        <f>SUM(SUM(M6-VLOOKUP(G10,Pitch!$F$58:$G$106,2,FALSE)))/SUM(VLOOKUP(VLOOKUP(MAX(J10:J15),Pitch!$A$58:$B$106,2,FALSE),Pitch!$F$58:$G$106,2,FALSE)-VLOOKUP(VLOOKUP(MIN(J10:J15),Pitch!$A$58:$B$106,2,FALSE),Pitch!$F$58:$G$106,2,FALSE))*M5</f>
        <v>0</v>
      </c>
      <c r="N10" s="65">
        <f>(K6/6)*(1+M10)</f>
        <v>22.5</v>
      </c>
      <c r="O10" s="64">
        <f t="shared" ref="O10:O15" si="1">N10*386.4/(2*J10*I10)^2</f>
        <v>3.0763253228701324E-5</v>
      </c>
      <c r="P10" s="64">
        <f>IF(O10&lt;String!$B$53,String!$B$53,IF(O10&gt;String!$B$78,String!$B$78,O10))</f>
        <v>3.0763253228701324E-5</v>
      </c>
      <c r="Q10" s="64">
        <f>SMALL(String!$B$53:$B$78,COUNTIF(String!$B$53:$B$78,"&lt;"&amp;P10)+1)</f>
        <v>3.1900000000000003E-5</v>
      </c>
      <c r="R10" s="64">
        <f>LARGE(String!$B$53:$B$78,COUNTIF(String!$B$53:$B$78,"&gt;"&amp;P10)+1)</f>
        <v>2.9300000000000001E-5</v>
      </c>
      <c r="S10" s="64">
        <f t="shared" ref="S10:S15" si="2">IF((P10-Q10)&gt;(R10-P10),Q10,R10)</f>
        <v>3.1900000000000003E-5</v>
      </c>
    </row>
    <row r="11" spans="5:21" x14ac:dyDescent="0.2">
      <c r="E11" s="33"/>
      <c r="F11" s="34" t="s">
        <v>138</v>
      </c>
      <c r="G11" s="73" t="s">
        <v>58</v>
      </c>
      <c r="H11" s="44" t="str">
        <f>VLOOKUP(S11,String!$B$53:$C$78, 2, TRUE)</f>
        <v>PL016</v>
      </c>
      <c r="I11" s="74">
        <v>25.5</v>
      </c>
      <c r="J11" s="45">
        <f>VLOOKUP(G11, Pitch!$A$4:$B$52, 2, FALSE)</f>
        <v>246.94165062806238</v>
      </c>
      <c r="K11" s="65">
        <f t="shared" si="0"/>
        <v>23.278316851666954</v>
      </c>
      <c r="L11" s="65"/>
      <c r="M11" s="66">
        <f>SUM(SUM(M6-VLOOKUP(G11,Pitch!$F$58:$G$106,2,FALSE)))/SUM(VLOOKUP(VLOOKUP(MAX(J10:J15),Pitch!$A$58:$B$106,2,FALSE),Pitch!$F$58:$G$106,2,FALSE)-VLOOKUP(VLOOKUP(MIN(J10:J15),Pitch!$A$58:$B$106,2,FALSE),Pitch!$F$58:$G$106,2,FALSE))*M5</f>
        <v>0</v>
      </c>
      <c r="N11" s="65">
        <f>(K6/6)*(1+M11)</f>
        <v>22.5</v>
      </c>
      <c r="O11" s="64">
        <f t="shared" si="1"/>
        <v>5.4813885734553348E-5</v>
      </c>
      <c r="P11" s="64">
        <f>IF(O11&lt;String!$B$53,String!$B$53,IF(O11&gt;String!$B$78,String!$B$78,O11))</f>
        <v>5.4813885734553348E-5</v>
      </c>
      <c r="Q11" s="64">
        <f>SMALL(String!$B$53:$B$78,COUNTIF(String!$B$53:$B$78,"&lt;"&amp;P11)+1)</f>
        <v>5.6709999999999997E-5</v>
      </c>
      <c r="R11" s="64">
        <f>LARGE(String!$B$53:$B$78,COUNTIF(String!$B$53:$B$78,"&gt;"&amp;P11)+1)</f>
        <v>5.1999999999999997E-5</v>
      </c>
      <c r="S11" s="64">
        <f t="shared" si="2"/>
        <v>5.6709999999999997E-5</v>
      </c>
      <c r="U11" s="23"/>
    </row>
    <row r="12" spans="5:21" x14ac:dyDescent="0.2">
      <c r="E12" s="70" t="s">
        <v>315</v>
      </c>
      <c r="F12" s="34" t="s">
        <v>144</v>
      </c>
      <c r="G12" s="73" t="s">
        <v>54</v>
      </c>
      <c r="H12" s="44" t="str">
        <f>IF(E12="Plain",VLOOKUP(S12,String!$B$53:$C$78,2,TRUE),IF(F6="NW",VLOOKUP(S12,String!$E$53:$FC$89,2,TRUE),IF(F6="PB",VLOOKUP(S12,String!$H$53:$I$93,2,TRUE),IF(F6="BW",VLOOKUP(S12,String!$K$53:$L$85,2,TRUE)))))</f>
        <v>PB021</v>
      </c>
      <c r="I12" s="74">
        <v>25.5</v>
      </c>
      <c r="J12" s="45">
        <f>VLOOKUP(G12, Pitch!$A$4:$B$52, 2, FALSE)</f>
        <v>195.99771799087486</v>
      </c>
      <c r="K12" s="65">
        <f t="shared" si="0"/>
        <v>23.127945472493174</v>
      </c>
      <c r="L12" s="65"/>
      <c r="M12" s="66">
        <f>SUM(SUM(M6-VLOOKUP(G12,Pitch!$F$58:$G$106,2,FALSE)))/SUM(VLOOKUP(VLOOKUP(MAX(J10:J15),Pitch!$A$58:$B$106,2,FALSE),Pitch!$F$58:$G$106,2,FALSE)-VLOOKUP(VLOOKUP(MIN(J10:J15),Pitch!$A$58:$B$106,2,FALSE),Pitch!$F$58:$G$106,2,FALSE))*M5</f>
        <v>0</v>
      </c>
      <c r="N12" s="65">
        <f>(K6/6)*(1+M12)</f>
        <v>22.5</v>
      </c>
      <c r="O12" s="64">
        <f t="shared" si="1"/>
        <v>8.7011619877494682E-5</v>
      </c>
      <c r="P12" s="64">
        <f>IF(E12="Plain",IF(O12&lt;String!$B$53,String!$B$53,IF(O12&gt;String!$B$78,String!$B$78,O12)),IF(F6="NW",IF(O12&lt;String!$E$53,String!$E$53,IF(O12&gt;String!$E$89,String!$E$89,O12)),IF(F6="BW",IF(O12&lt;String!$K$53,String!$K$53,IF(O12&gt;String!$K$85,String!$K$85,O12)),IF(O12&lt;String!$H$53,String!$H$53,IF(O12&gt;String!$H$93,String!$H$93,O12)))))</f>
        <v>8.7011619877494682E-5</v>
      </c>
      <c r="Q12" s="67">
        <f>IF(E12="Plain",SMALL(String!$B$53:$B$78,COUNTIF(String!$B$53:$B$78,"&lt;"&amp;P12)+1),IF(F6="NW",SMALL(String!$E$53:$F$89,COUNTIF(String!$E$53:$E$89,"&lt;"&amp;P12)+1),IF(F6="BW",SMALL(String!$K$53:$K$85,COUNTIF(String!$K$53:$K$85,"&lt;"&amp;P12)+1),SMALL(String!$H$53:$H$93,COUNTIF(String!$H$53:$H$93,"&lt;"&amp;P12)+1))))</f>
        <v>8.9439999999999997E-5</v>
      </c>
      <c r="R12" s="67">
        <f>IF(E12="Plain",LARGE(String!$B$53:$B$78,COUNTIF(String!$B$53:$B$78,"&gt;"&amp;P12)+1),IF(F6="NW",LARGE(String!E$53:$E$89,COUNTIF(String!$E$53:$E$89,"&gt;"&amp;P12)+1),IF(F6="BW",LARGE(String!$K$53:$K$85,COUNTIF(String!$K$53:$K$85,"&gt;"&amp;P12)+1),LARGE(String!$H$53:$H$93,COUNTIF(String!$H$53:$H$93,"&gt;"&amp;P12)+1))))</f>
        <v>8.106E-5</v>
      </c>
      <c r="S12" s="64">
        <f t="shared" si="2"/>
        <v>8.9439999999999997E-5</v>
      </c>
    </row>
    <row r="13" spans="5:21" x14ac:dyDescent="0.2">
      <c r="E13" s="33"/>
      <c r="F13" s="34" t="s">
        <v>143</v>
      </c>
      <c r="G13" s="73" t="s">
        <v>49</v>
      </c>
      <c r="H13" s="44" t="str">
        <f>IF(F6="NW", VLOOKUP(S13,String!$E$53:$F$89, 2, TRUE), IF(F6="PB", VLOOKUP(S13,String!$H$53:$I$93, 2, TRUE), IF(F6="BW", VLOOKUP(S13,String!$K$53:$L$85, 2, TRUE))))</f>
        <v>PB028</v>
      </c>
      <c r="I13" s="74">
        <v>25.5</v>
      </c>
      <c r="J13" s="45">
        <f>VLOOKUP(G13, Pitch!$A$4:$B$52, 2, FALSE)</f>
        <v>146.8323839587039</v>
      </c>
      <c r="K13" s="65">
        <f t="shared" si="0"/>
        <v>23.03049839304656</v>
      </c>
      <c r="L13" s="65"/>
      <c r="M13" s="66">
        <f>SUM(SUM(M6-VLOOKUP(G13,Pitch!$F$58:$G$106,2,FALSE)))/SUM(VLOOKUP(VLOOKUP(MAX(J10:J15),Pitch!$A$58:$B$106,2,FALSE),Pitch!$F$58:$G$106,2,FALSE)-VLOOKUP(VLOOKUP(MIN(J10:J15),Pitch!$A$58:$B$106,2,FALSE),Pitch!$F$58:$G$106,2,FALSE))*M5</f>
        <v>0</v>
      </c>
      <c r="N13" s="65">
        <f>(K6/6)*(1+M13)</f>
        <v>22.5</v>
      </c>
      <c r="O13" s="64">
        <f t="shared" si="1"/>
        <v>1.5503708122434906E-4</v>
      </c>
      <c r="P13" s="64">
        <f>IF(F6="NW",IF(O13&lt;String!$E$53,String!$E$53,IF(O13&gt;String!$E$89,String!$E$89,O13)),IF(F6="BW",IF(O13&lt;String!$K$53,String!$K$53,IF(O13&gt;String!$K$85,String!$K$85,O13)),IF(O13&lt;String!$H$53,String!$H$53,IF(O13&gt;String!$H$93,String!$H$93,O13))))</f>
        <v>1.5503708122434906E-4</v>
      </c>
      <c r="Q13" s="67">
        <f>IF(F6="NW",SMALL(String!$E$53:$E$89,COUNTIF(String!$E$53:$E$89,"&lt;"&amp;P13)+1),IF(F6="BW",SMALL(String!$K$53:$K$85,COUNTIF(String!$K$53:$K$85,"&lt;"&amp;P13)+1),SMALL(String!$H$53:$H$93,COUNTIF(String!$H$53:$H$93,"&lt;"&amp;P13)+1)))</f>
        <v>1.586925E-4</v>
      </c>
      <c r="R13" s="67">
        <f>IF(F6="NW",LARGE(String!$E$53:$E$89,COUNTIF(String!$E$53:$E$89,"&gt;"&amp;P13)+1),IF(F6="BW",LARGE(String!$K$53:$K$85,COUNTIF(String!$K$53:$K$85,"&gt;"&amp;P13)+1),LARGE(String!$H$53:$H$93,COUNTIF(String!$H$53:$H$93,"&gt;"&amp;P13)+1)))</f>
        <v>1.4834000000000001E-4</v>
      </c>
      <c r="S13" s="64">
        <f t="shared" si="2"/>
        <v>1.586925E-4</v>
      </c>
      <c r="U13" s="23"/>
    </row>
    <row r="14" spans="5:21" x14ac:dyDescent="0.2">
      <c r="E14" s="33"/>
      <c r="F14" s="34" t="s">
        <v>142</v>
      </c>
      <c r="G14" s="73" t="s">
        <v>44</v>
      </c>
      <c r="H14" s="44" t="str">
        <f>IF(F6="NW", VLOOKUP(S14,String!$E$53:$F$89, 2, TRUE), IF(F6="PB", VLOOKUP(S14,String!$H$53:$I$93, 2, TRUE), IF(F6="BW", VLOOKUP(S14,String!$K$53:$L$85, 2, TRUE))))</f>
        <v>PB036</v>
      </c>
      <c r="I14" s="74">
        <v>25.5</v>
      </c>
      <c r="J14" s="45">
        <f>VLOOKUP(G14, Pitch!$A$4:$B$52, 2, FALSE)</f>
        <v>110.00000000000006</v>
      </c>
      <c r="K14" s="65">
        <f t="shared" si="0"/>
        <v>21.852910015527975</v>
      </c>
      <c r="L14" s="65"/>
      <c r="M14" s="66">
        <f>SUM(SUM(M6-VLOOKUP(G14,Pitch!$F$58:$G$106,2,FALSE)))/SUM(VLOOKUP(VLOOKUP(MAX(J10:J15),Pitch!$A$58:$B$106,2,FALSE),Pitch!$F$58:$G$106,2,FALSE)-VLOOKUP(VLOOKUP(MIN(J10:J15),Pitch!$A$58:$B$106,2,FALSE),Pitch!$F$58:$G$106,2,FALSE))*M5</f>
        <v>0</v>
      </c>
      <c r="N14" s="65">
        <f>(K6/6)*(1+M14)</f>
        <v>22.5</v>
      </c>
      <c r="O14" s="64">
        <f t="shared" si="1"/>
        <v>2.7624467385398469E-4</v>
      </c>
      <c r="P14" s="64">
        <f>IF(F6="NW",IF(O14&lt;String!$E$53,String!$E$53,IF(O14&gt;String!$E$89,String!$E$89,O14)),IF(F6="BW",IF(O14&lt;String!$K$53,String!$K$53,IF(O14&gt;String!$K$85,String!$K$85,O14)),IF(O14&lt;String!$H$53,String!$H$53,IF(O14&gt;String!$H$93,String!$H$93,O14))))</f>
        <v>2.7624467385398469E-4</v>
      </c>
      <c r="Q14" s="67">
        <f>IF(F6="NW",SMALL(String!$E$53:$E$89,COUNTIF(String!$E$53:$E$89,"&lt;"&amp;P14)+1),IF(F6="BW",SMALL(String!$K$53:$K$85,COUNTIF(String!$K$53:$K$85,"&lt;"&amp;P14)+1),SMALL(String!$H$53:$H$93,COUNTIF(String!$H$53:$H$93,"&lt;"&amp;P14)+1)))</f>
        <v>2.9330000000000003E-4</v>
      </c>
      <c r="R14" s="67">
        <f>IF(F6="NW",LARGE(String!$E$53:$E$89,COUNTIF(String!$E$53:$E$89,"&gt;"&amp;P14)+1),IF(F6="BW",LARGE(String!$K$53:$K$85,COUNTIF(String!$K$53:$K$85,"&gt;"&amp;P14)+1),LARGE(String!$H$53:$H$93,COUNTIF(String!$H$53:$H$93,"&gt;"&amp;P14)+1)))</f>
        <v>2.6830000000000002E-4</v>
      </c>
      <c r="S14" s="64">
        <f t="shared" si="2"/>
        <v>2.6830000000000002E-4</v>
      </c>
    </row>
    <row r="15" spans="5:21" x14ac:dyDescent="0.2">
      <c r="E15" s="33"/>
      <c r="F15" s="34" t="s">
        <v>141</v>
      </c>
      <c r="G15" s="73" t="s">
        <v>39</v>
      </c>
      <c r="H15" s="44" t="str">
        <f>IF(F6="NW", VLOOKUP(S15,String!$E$53:$F$89, 2, TRUE), IF(F6="PB", VLOOKUP(S15,String!$H$53:$I$93, 2, TRUE), IF(F6="BW", VLOOKUP(S15,String!$K$53:$L$85, 2, TRUE))))</f>
        <v>PB049</v>
      </c>
      <c r="I15" s="74">
        <v>25.5</v>
      </c>
      <c r="J15" s="45">
        <f>VLOOKUP(G15, Pitch!$A$4:$B$52, 2, FALSE)</f>
        <v>82.406889228217523</v>
      </c>
      <c r="K15" s="65">
        <f t="shared" si="0"/>
        <v>22.467907810710344</v>
      </c>
      <c r="L15" s="65"/>
      <c r="M15" s="66">
        <f>SUM(SUM(M6-VLOOKUP(G15,Pitch!$F$58:$G$106,2,FALSE)))/SUM(VLOOKUP(VLOOKUP(MAX(J10:J15),Pitch!$A$58:$B$106,2,FALSE),Pitch!$F$58:$G$106,2,FALSE)-VLOOKUP(VLOOKUP(MIN(J10:J15),Pitch!$A$58:$B$106,2,FALSE),Pitch!$F$58:$G$106,2,FALSE))*M5</f>
        <v>0</v>
      </c>
      <c r="N15" s="65">
        <f>(K6/6)*(1+M15)</f>
        <v>22.5</v>
      </c>
      <c r="O15" s="64">
        <f t="shared" si="1"/>
        <v>4.9221205165922227E-4</v>
      </c>
      <c r="P15" s="64">
        <f>IF(F6="NW",IF(O15&lt;String!$E$53,String!$E$53,IF(O15&gt;String!$E$89,String!$E$89,O15)),IF(F6="BW",IF(O15&lt;String!$K$53,String!$K$53,IF(O15&gt;String!$K$85,String!$K$85,O15)),IF(O15&lt;String!$H$53,String!$H$53,IF(O15&gt;String!$H$93,String!$H$93,O15))))</f>
        <v>4.9221205165922227E-4</v>
      </c>
      <c r="Q15" s="67">
        <f>IF(F6="NW",SMALL(String!$E$53:$E$89,COUNTIF(String!$E$53:$E$89,"&lt;"&amp;P15)+1),IF(F6="BW",SMALL(String!$K$53:$K$85,COUNTIF(String!$K$53:$K$85,"&lt;"&amp;P15)+1),SMALL(String!$H$53:$H$93,COUNTIF(String!$H$53:$H$93,"&lt;"&amp;P15)+1)))</f>
        <v>5.0743999999999995E-4</v>
      </c>
      <c r="R15" s="67">
        <f>IF(F6="NW",LARGE(String!$E$53:$E$89,COUNTIF(String!$E$53:$E$89,"&gt;"&amp;P15)+1),IF(F6="BW",LARGE(String!$K$53:$K$85,COUNTIF(String!$K$53:$K$85,"&gt;"&amp;P15)+1),LARGE(String!$H$53:$H$93,COUNTIF(String!$H$53:$H$93,"&gt;"&amp;P15)+1)))</f>
        <v>4.9151000000000002E-4</v>
      </c>
      <c r="S15" s="64">
        <f t="shared" si="2"/>
        <v>4.9151000000000002E-4</v>
      </c>
    </row>
    <row r="16" spans="5:21" x14ac:dyDescent="0.2">
      <c r="E16" s="33"/>
      <c r="F16" s="34"/>
      <c r="G16" s="51"/>
      <c r="H16" s="52"/>
      <c r="I16" s="49"/>
      <c r="J16" s="46"/>
      <c r="K16" s="44"/>
      <c r="L16" s="44"/>
      <c r="M16" s="52"/>
      <c r="N16" s="52"/>
      <c r="O16" s="49"/>
      <c r="P16" s="33"/>
      <c r="Q16" s="49"/>
      <c r="R16" s="49"/>
      <c r="S16" s="49"/>
    </row>
    <row r="17" spans="5:20" x14ac:dyDescent="0.2">
      <c r="E17" s="33"/>
      <c r="F17" s="33"/>
      <c r="G17" s="33"/>
      <c r="H17" s="33"/>
      <c r="I17" s="53"/>
      <c r="J17" s="33"/>
      <c r="K17" s="54">
        <f>SUM(K10:K15)</f>
        <v>137.08898613756634</v>
      </c>
      <c r="L17" s="44" t="s">
        <v>360</v>
      </c>
      <c r="M17" s="33"/>
      <c r="N17" s="33"/>
      <c r="O17" s="33"/>
      <c r="P17" s="33"/>
      <c r="Q17" s="33"/>
      <c r="R17" s="33"/>
      <c r="S17" s="33"/>
    </row>
    <row r="18" spans="5:20" x14ac:dyDescent="0.2">
      <c r="E18" s="33"/>
      <c r="F18" s="33"/>
      <c r="G18" s="33"/>
      <c r="H18" s="33"/>
      <c r="I18" s="38"/>
      <c r="J18" s="33"/>
      <c r="K18" s="55">
        <f>K17/6</f>
        <v>22.848164356261055</v>
      </c>
      <c r="L18" s="33" t="s">
        <v>361</v>
      </c>
      <c r="M18" s="33"/>
      <c r="N18" s="33"/>
      <c r="O18" s="33"/>
      <c r="P18" s="33"/>
      <c r="Q18" s="33"/>
      <c r="R18" s="33"/>
      <c r="S18" s="33"/>
    </row>
    <row r="19" spans="5:20" x14ac:dyDescent="0.2">
      <c r="E19" s="33"/>
      <c r="F19" s="33"/>
      <c r="G19" s="33"/>
      <c r="H19" s="33"/>
      <c r="I19" s="33"/>
      <c r="J19" s="33"/>
      <c r="K19" s="48">
        <f>MAX(K10:K15)-MIN(K10:K15)</f>
        <v>1.4784975785933696</v>
      </c>
      <c r="L19" s="33" t="s">
        <v>359</v>
      </c>
      <c r="M19" s="33"/>
      <c r="N19" s="48">
        <f>MAX(N10:N15)-MIN(N10:N15)</f>
        <v>0</v>
      </c>
      <c r="O19" s="56" t="s">
        <v>362</v>
      </c>
      <c r="P19" s="33"/>
      <c r="Q19" s="33"/>
      <c r="R19" s="33"/>
      <c r="S19" s="33"/>
    </row>
    <row r="21" spans="5:20" x14ac:dyDescent="0.2">
      <c r="M21" s="23"/>
    </row>
    <row r="23" spans="5:20" ht="15.75" x14ac:dyDescent="0.25">
      <c r="E23" s="91" t="s">
        <v>240</v>
      </c>
      <c r="F23" s="91"/>
      <c r="G23" s="91"/>
      <c r="H23" s="91"/>
      <c r="I23" s="91"/>
      <c r="J23" s="91"/>
      <c r="K23" s="91"/>
      <c r="L23" s="25"/>
      <c r="M23" s="24"/>
      <c r="N23" s="91" t="s">
        <v>316</v>
      </c>
      <c r="O23" s="91"/>
      <c r="P23" s="91"/>
      <c r="Q23" s="91"/>
      <c r="R23" s="91"/>
      <c r="S23" s="91"/>
      <c r="T23" s="24"/>
    </row>
    <row r="24" spans="5:20" ht="15.75" x14ac:dyDescent="0.25">
      <c r="E24" s="92" t="s">
        <v>311</v>
      </c>
      <c r="F24" s="92"/>
      <c r="G24" s="92"/>
      <c r="H24" s="57"/>
      <c r="I24" s="57"/>
      <c r="J24" s="57"/>
      <c r="K24" s="57"/>
      <c r="L24" s="25"/>
      <c r="M24" s="25"/>
      <c r="N24" s="34" t="s">
        <v>311</v>
      </c>
      <c r="O24" s="92" t="s">
        <v>338</v>
      </c>
      <c r="P24" s="92"/>
      <c r="Q24" s="92"/>
      <c r="R24" s="34"/>
      <c r="S24" s="34"/>
      <c r="T24" s="22"/>
    </row>
    <row r="25" spans="5:20" x14ac:dyDescent="0.2">
      <c r="E25" s="33"/>
      <c r="F25" s="70" t="s">
        <v>356</v>
      </c>
      <c r="G25" s="33"/>
      <c r="H25" s="33"/>
      <c r="I25" s="33"/>
      <c r="J25" s="33"/>
      <c r="K25" s="33"/>
      <c r="N25" s="70" t="s">
        <v>356</v>
      </c>
      <c r="O25" s="93" t="s">
        <v>321</v>
      </c>
      <c r="P25" s="93"/>
      <c r="Q25" s="93"/>
      <c r="R25" s="33"/>
      <c r="S25" s="33"/>
    </row>
    <row r="26" spans="5:20" x14ac:dyDescent="0.2">
      <c r="E26" s="33"/>
      <c r="F26" s="34"/>
      <c r="G26" s="89" t="s">
        <v>3</v>
      </c>
      <c r="H26" s="89" t="s">
        <v>149</v>
      </c>
      <c r="I26" s="82" t="s">
        <v>357</v>
      </c>
      <c r="J26" s="53" t="s">
        <v>1</v>
      </c>
      <c r="K26" s="53" t="s">
        <v>2</v>
      </c>
      <c r="L26" s="22"/>
      <c r="N26" s="34"/>
      <c r="O26" s="89" t="s">
        <v>3</v>
      </c>
      <c r="P26" s="89" t="s">
        <v>149</v>
      </c>
      <c r="Q26" s="82" t="s">
        <v>357</v>
      </c>
      <c r="R26" s="53" t="s">
        <v>1</v>
      </c>
      <c r="S26" s="53" t="s">
        <v>2</v>
      </c>
    </row>
    <row r="27" spans="5:20" x14ac:dyDescent="0.2">
      <c r="E27" s="33"/>
      <c r="F27" s="43" t="s">
        <v>137</v>
      </c>
      <c r="G27" s="73" t="s">
        <v>63</v>
      </c>
      <c r="H27" s="73" t="s">
        <v>11</v>
      </c>
      <c r="I27" s="74">
        <v>25.5</v>
      </c>
      <c r="J27" s="45">
        <f>VLOOKUP(G27, Pitch!$A$4:$B$52, 2, FALSE)</f>
        <v>329.62755691287043</v>
      </c>
      <c r="K27" s="46">
        <f>VLOOKUP(H27,String!$A$8:$B$33, 2, FALSE)*(2*I27*J27)^2/386.4</f>
        <v>23.331407594121345</v>
      </c>
      <c r="L27" s="84"/>
      <c r="N27" s="43" t="s">
        <v>137</v>
      </c>
      <c r="O27" s="73" t="s">
        <v>63</v>
      </c>
      <c r="P27" s="44" t="str">
        <f>IF(LEFT((O25),7)="EJ23 9-",String!$B$101,IF(LEFT((O25),7)="EJ15 10",String!$D$101,IF(LEFT((O25),7)="EJ16 12",String!$F$101,IF(LEFT((O25),7)="EJ17 13",String!$H$101,IF(LEFT((O25),7)="EJ18 14",String!$J$101,IF(LEFT((O25),7)="EJ26 11",String!$L$101,IF(LEFT((O25),7)="EJ19 12",String!$N$101,IF(LEFT((O25),7)="EJ10 10",String!$B$117,IF(LEFT((O25),7)="EJ11 12",String!$D$117,IF(LEFT((O25),7)="EJ12 13",String!$F$117,IF(LEFT((O25),7)="EJ13 11",String!$H$117,IF(LEFT((O25),7)="EJ14 12",String!$J$117,IF(LEFT((O25),7)="EXL110 ",String!$B$134,IF(LEFT((O25),7)="EXL110B",String!$D$134,IF(LEFT((O25),7)="EXL115 ",String!$F$134,IF(LEFT((O25),7)="EXL115B",String!$H$134,IF(LEFT((O25),7)="EXL120 ",String!$J$134,IF(LEFT((O25),7)="EXL120B",String!$L$134,String!$N$134))))))))))))))))))</f>
        <v>PL010</v>
      </c>
      <c r="Q27" s="74">
        <v>25.5</v>
      </c>
      <c r="R27" s="45">
        <f>VLOOKUP(O27, Pitch!$A$4:$B$52, 2, FALSE)</f>
        <v>329.62755691287043</v>
      </c>
      <c r="S27" s="46">
        <f>VLOOKUP(P27,String!$A$8:$B$33, 2, FALSE)*(2*Q27*R27)^2/386.4</f>
        <v>16.200334740118738</v>
      </c>
    </row>
    <row r="28" spans="5:20" x14ac:dyDescent="0.2">
      <c r="E28" s="33"/>
      <c r="F28" s="34" t="s">
        <v>138</v>
      </c>
      <c r="G28" s="73" t="s">
        <v>58</v>
      </c>
      <c r="H28" s="73" t="s">
        <v>70</v>
      </c>
      <c r="I28" s="74">
        <v>25.5</v>
      </c>
      <c r="J28" s="45">
        <f>VLOOKUP(G28, Pitch!$A$4:$B$52, 2, FALSE)</f>
        <v>246.94165062806238</v>
      </c>
      <c r="K28" s="46">
        <f>VLOOKUP(H28,String!$A$8:$B$33, 2, FALSE)*(2*I28*J28)^2/386.4</f>
        <v>23.278316851666954</v>
      </c>
      <c r="L28" s="84"/>
      <c r="N28" s="34" t="s">
        <v>138</v>
      </c>
      <c r="O28" s="73" t="s">
        <v>58</v>
      </c>
      <c r="P28" s="44" t="str">
        <f>IF(LEFT((O25),7)="EJ23 9-",String!$B$102,IF(LEFT((O25),7)="EJ15 10",String!$D$102,IF(LEFT((O25),7)="EJ16 12",String!$F$102,IF(LEFT((O25),7)="EJ17 13",String!$H$102,IF(LEFT((O25),7)="EJ18 14",String!$J$102,IF(LEFT((O25),7)="EJ26 11",String!$L$102,IF(LEFT((O25),7)="EJ19 12",String!$N$102,IF(LEFT((O25),7)="EJ10 10",String!$B$118,IF(LEFT((O25),7)="EJ11 12",String!$D$118,IF(LEFT((O25),7)="EJ12 13",String!$F$118,IF(LEFT((O25),7)="EJ13 11",String!$H$118,IF(LEFT((O25),7)="EJ14 12",String!$J$118,IF(LEFT((O25),7)="EXL110 ",String!$B$135,IF(LEFT((O25),7)="EXL110B",String!$D$135,IF(LEFT((O25),7)="EXL115 ",String!$F$135,IF(LEFT((O25),7)="EXL115B",String!$H$135,IF(LEFT((O25),7)="EXL120 ",String!$J$135,IF(LEFT((O25),7)="EXL120B",String!$L$135,String!$N$135))))))))))))))))))</f>
        <v>PL014</v>
      </c>
      <c r="Q28" s="74">
        <v>25.5</v>
      </c>
      <c r="R28" s="45">
        <f>VLOOKUP(O28, Pitch!$A$4:$B$52, 2, FALSE)</f>
        <v>246.94165062806238</v>
      </c>
      <c r="S28" s="46">
        <f>VLOOKUP(P28,String!$A$8:$B$33, 2, FALSE)*(2*Q28*R28)^2/386.4</f>
        <v>17.823038576959608</v>
      </c>
    </row>
    <row r="29" spans="5:20" x14ac:dyDescent="0.2">
      <c r="E29" s="70" t="s">
        <v>315</v>
      </c>
      <c r="F29" s="34" t="s">
        <v>144</v>
      </c>
      <c r="G29" s="73" t="s">
        <v>54</v>
      </c>
      <c r="H29" s="73" t="s">
        <v>10</v>
      </c>
      <c r="I29" s="74">
        <v>25.5</v>
      </c>
      <c r="J29" s="45">
        <f>VLOOKUP(G29, Pitch!$A$4:$B$52, 2, FALSE)</f>
        <v>195.99771799087486</v>
      </c>
      <c r="K29" s="58">
        <f>IFERROR(IF(E29="Plain",VLOOKUP(H29,String!$A$8:$B$33,2,FALSE),IF(F25="PB",VLOOKUP(H29,String!$G$8:$H$48,2,FALSE),IF(F25="BW",VLOOKUP(H29,String!$J$8:$K$40,2,FALSE),VLOOKUP(H29,String!$D$8:$E$44,2,FALSE))))*(2*I29*J29)^2/386.4,"Select String")</f>
        <v>23.127945472493174</v>
      </c>
      <c r="L29" s="85"/>
      <c r="N29" s="34" t="s">
        <v>144</v>
      </c>
      <c r="O29" s="73" t="s">
        <v>54</v>
      </c>
      <c r="P29" s="44" t="str">
        <f>IF(LEFT((O25),7)="EJ23 9-",String!$B$103,IF(LEFT((O25),7)="EJ15 10",String!$D$103,IF(LEFT((O25),7)="EJ16 12",String!$F$103,IF(LEFT((O25),7)="EJ17 13",String!$H$103,IF(LEFT((O25),7)="EJ18 14",String!$J$103,IF(LEFT((O25),7)="EJ26 11",String!$L$103,IF(LEFT((O25),7)="EJ19 12",String!$N$103,IF(LEFT((O25),7)="EJ10 10",String!$B$119,IF(LEFT((O25),7)="EJ11 12",String!$D$119,IF(LEFT((O25),7)="EJ12 13",String!$F$119,IF(LEFT((O25),7)="EJ13 11",String!$H$119,IF(LEFT((O25),7)="EJ14 12",String!$J$119,IF(LEFT((O25),7)="EXL110 ",String!$B$136,IF(LEFT((O25),7)="EXL110B",String!$D$136,IF(LEFT((O25),7)="EXL115 ",String!$F$136,IF(LEFT((O25),7)="EXL115B",String!$H$136,IF(LEFT((O25),7)="EXL120 ",String!$J$136,IF(LEFT((O25),7)="EXL120B",String!$L$136,String!$N$136))))))))))))))))))</f>
        <v>PB023</v>
      </c>
      <c r="Q29" s="74">
        <v>25.5</v>
      </c>
      <c r="R29" s="45">
        <f>VLOOKUP(O29, Pitch!$A$4:$B$52, 2, FALSE)</f>
        <v>195.99771799087486</v>
      </c>
      <c r="S29" s="60">
        <f>IF(LEFT(P29,2)="PL",VLOOKUP(P29,String!$A$8:$B$33,2,FALSE),IF(LEFT(P29,2)="PB",VLOOKUP(P29,String!$G$8:$H$48,2,FALSE),IF(LEFT(P29,2)="BW",VLOOKUP(P29,String!$J$8:$K$40,2,FALSE),VLOOKUP(P29,String!$D$8:$E$44,2,FALSE))))*(2*Q29*R29)^2/386.4</f>
        <v>27.929890322942619</v>
      </c>
    </row>
    <row r="30" spans="5:20" x14ac:dyDescent="0.2">
      <c r="E30" s="33"/>
      <c r="F30" s="34" t="s">
        <v>143</v>
      </c>
      <c r="G30" s="73" t="s">
        <v>49</v>
      </c>
      <c r="H30" s="73" t="s">
        <v>152</v>
      </c>
      <c r="I30" s="74">
        <v>25.5</v>
      </c>
      <c r="J30" s="45">
        <f>VLOOKUP(G30, Pitch!$A$4:$B$52, 2, FALSE)</f>
        <v>146.8323839587039</v>
      </c>
      <c r="K30" s="59">
        <f>IFERROR(IF(F25="PB",VLOOKUP(H30,String!$G$8:$H$48,2,FALSE),IF(F25="BW",VLOOKUP(H30,String!$J$8:$K$40,2,FALSE),VLOOKUP(H30,String!$D$8:$E$44,2,FALSE)))*(2*I30*J30)^2/386.4,"Select String")</f>
        <v>23.03049839304656</v>
      </c>
      <c r="L30" s="86"/>
      <c r="N30" s="34" t="s">
        <v>143</v>
      </c>
      <c r="O30" s="73" t="s">
        <v>49</v>
      </c>
      <c r="P30" s="44" t="str">
        <f>IF(LEFT((O25),7)="EJ23 9-",String!$B$104,IF(LEFT((O25),7)="EJ15 10",String!$D$104,IF(LEFT((O25),7)="EJ16 12",String!$F$104,IF(LEFT((O25),7)="EJ17 13",String!$H$104,IF(LEFT((O25),7)="EJ18 14",String!$J$104,IF(LEFT((O25),7)="EJ26 11",String!$L$104,IF(LEFT((O25),7)="EJ19 12",String!$N$104,IF(LEFT((O25),7)="EJ10 10",String!$B$120,IF(LEFT((O25),7)="EJ11 12",String!$D$120,IF(LEFT((O25),7)="EJ12 13",String!$F$120,IF(LEFT((O25),7)="EJ13 11",String!$H$120,IF(LEFT((O25),7)="EJ14 12",String!$J$120,IF(LEFT((O25),7)="EXL110 ",String!$B$137,IF(LEFT((O25),7)="EXL110B",String!$D$137,IF(LEFT((O25),7)="EXL115 ",String!$F$137,IF(LEFT((O25),7)="EXL115B",String!$H$137,IF(LEFT((O25),7)="EXL120 ",String!$J$137,IF(LEFT((O25),7)="EXL120B",String!$L$137,String!$N$137))))))))))))))))))</f>
        <v>PB030</v>
      </c>
      <c r="Q30" s="74">
        <v>25.5</v>
      </c>
      <c r="R30" s="45">
        <f>VLOOKUP(O30, Pitch!$A$4:$B$52, 2, FALSE)</f>
        <v>146.8323839587039</v>
      </c>
      <c r="S30" s="60">
        <f>IF(LEFT(P30,2)="PL",VLOOKUP(P30,String!$A$8:$B$33,2,FALSE),IF(LEFT(P30,2)="PB",VLOOKUP(P30,String!$G$8:$H$48,2,FALSE),IF(LEFT(P30,2)="BW",VLOOKUP(P30,String!$J$8:$K$40,2,FALSE),VLOOKUP(P30,String!$D$8:$E$44,2,FALSE))))*(2*Q30*R30)^2/386.4</f>
        <v>27.080618177560304</v>
      </c>
    </row>
    <row r="31" spans="5:20" x14ac:dyDescent="0.2">
      <c r="E31" s="33"/>
      <c r="F31" s="34" t="s">
        <v>142</v>
      </c>
      <c r="G31" s="73" t="s">
        <v>44</v>
      </c>
      <c r="H31" s="73" t="s">
        <v>107</v>
      </c>
      <c r="I31" s="74">
        <v>25.5</v>
      </c>
      <c r="J31" s="45">
        <f>VLOOKUP(G31, Pitch!$A$4:$B$52, 2, FALSE)</f>
        <v>110.00000000000006</v>
      </c>
      <c r="K31" s="59">
        <f>IFERROR(IF(F25="PB",VLOOKUP(H31,String!$G$8:$H$48,2,FALSE),IF(F25="BW",VLOOKUP(H31,String!$J$8:$K$40,2,FALSE),VLOOKUP(H31,String!$D$8:$E$44,2,FALSE)))*(2*I31*J31)^2/386.4,"Select String")</f>
        <v>21.852910015527975</v>
      </c>
      <c r="L31" s="86"/>
      <c r="N31" s="34" t="s">
        <v>142</v>
      </c>
      <c r="O31" s="73" t="s">
        <v>44</v>
      </c>
      <c r="P31" s="44" t="str">
        <f>IF(LEFT((O25),7)="EJ23 9-",String!$B$105,IF(LEFT((O25),7)="EJ15 10",String!$D$105,IF(LEFT((O25),7)="EJ16 12",String!$F$105,IF(LEFT((O25),7)="EJ17 13",String!$H$105,IF(LEFT((O25),7)="EJ18 14",String!$J$105,IF(LEFT((O25),7)="EJ26 11",String!$L$105,IF(LEFT((O25),7)="EJ19 12",String!$N$105,IF(LEFT((O25),7)="EJ10 10",String!$B$121,IF(LEFT((O25),7)="EJ11 12",String!$D$121,IF(LEFT((O25),7)="EJ12 13",String!$F$121,IF(LEFT((O25),7)="EJ13 11",String!$H$121,IF(LEFT((O25),7)="EJ14 12",String!$J$121,IF(LEFT((O25),7)="EXL110 ",String!$B$138,IF(LEFT((O25),7)="EXL110B",String!$D$138,IF(LEFT((O25),7)="EXL115 ",String!$F$138,IF(LEFT((O25),7)="EXL115B",String!$H$138,IF(LEFT((O25),7)="EXL120 ",String!$J$138,IF(LEFT((O25),7)="EXL120B",String!$L$138,String!$N$138))))))))))))))))))</f>
        <v>PB039</v>
      </c>
      <c r="Q31" s="74">
        <v>25.5</v>
      </c>
      <c r="R31" s="45">
        <f>VLOOKUP(O31, Pitch!$A$4:$B$52, 2, FALSE)</f>
        <v>110.00000000000006</v>
      </c>
      <c r="S31" s="60">
        <f>IF(LEFT(P31,2)="PL",VLOOKUP(P31,String!$A$8:$B$33,2,FALSE),IF(LEFT(P31,2)="PB",VLOOKUP(P31,String!$G$8:$H$48,2,FALSE),IF(LEFT(P31,2)="BW",VLOOKUP(P31,String!$J$8:$K$40,2,FALSE),VLOOKUP(P31,String!$D$8:$E$44,2,FALSE))))*(2*Q31*R31)^2/386.4</f>
        <v>25.351167507764</v>
      </c>
    </row>
    <row r="32" spans="5:20" x14ac:dyDescent="0.2">
      <c r="E32" s="33"/>
      <c r="F32" s="34" t="s">
        <v>141</v>
      </c>
      <c r="G32" s="73" t="s">
        <v>39</v>
      </c>
      <c r="H32" s="73" t="s">
        <v>112</v>
      </c>
      <c r="I32" s="74">
        <v>25.5</v>
      </c>
      <c r="J32" s="45">
        <f>VLOOKUP(G32, Pitch!$A$4:$B$52, 2, FALSE)</f>
        <v>82.406889228217523</v>
      </c>
      <c r="K32" s="59">
        <f>IFERROR(IF(F25="PB",VLOOKUP(H32,String!$G$8:$H$48,2,FALSE),IF(F25="BW",VLOOKUP(H32,String!$J$8:$K$40,2,FALSE),VLOOKUP(H32,String!$D$8:$E$44,2,FALSE)))*(2*I32*J32)^2/386.4,"Select String")</f>
        <v>22.467907810710344</v>
      </c>
      <c r="L32" s="86"/>
      <c r="N32" s="34" t="s">
        <v>141</v>
      </c>
      <c r="O32" s="73" t="s">
        <v>39</v>
      </c>
      <c r="P32" s="44" t="str">
        <f>IF(LEFT((O25),7)="EJ23 9-",String!$B$106,IF(LEFT((O25),7)="EJ15 10",String!$D$106,IF(LEFT((O25),7)="EJ16 12",String!$F$106,IF(LEFT((O25),7)="EJ17 13",String!$H$106,IF(LEFT((O25),7)="EJ18 14",String!$J$106,IF(LEFT((O25),7)="EJ26 11",String!$L$106,IF(LEFT((O25),7)="EJ19 12",String!$N$106,IF(LEFT((O25),7)="EJ10 10",String!$B$122,IF(LEFT((O25),7)="EJ11 12",String!$D$122,IF(LEFT((O25),7)="EJ12 13",String!$F$122,IF(LEFT((O25),7)="EJ13 11",String!$H$122,IF(LEFT((O25),7)="EJ14 12",String!$J$122,IF(LEFT((O25),7)="EXL110 ",String!$B$139,IF(LEFT((O25),7)="EXL110B",String!$D$139,IF(LEFT((O25),7)="EXL115 ",String!$F$139,IF(LEFT((O25),7)="EXL115B",String!$H$139,IF(LEFT((O25),7)="EXL120 ",String!$J$139,IF(LEFT((O25),7)="EXL120B",String!$L$139,String!$N$139))))))))))))))))))</f>
        <v>PB047</v>
      </c>
      <c r="Q32" s="74">
        <v>25.5</v>
      </c>
      <c r="R32" s="45">
        <f>VLOOKUP(O32, Pitch!$A$4:$B$52, 2, FALSE)</f>
        <v>82.406889228217523</v>
      </c>
      <c r="S32" s="60">
        <f>IF(LEFT(P32,2)="PL",VLOOKUP(P32,String!$A$8:$B$33,2,FALSE),IF(LEFT(P32,2)="PB",VLOOKUP(P32,String!$G$8:$H$48,2,FALSE),IF(LEFT(P32,2)="BW",VLOOKUP(P32,String!$J$8:$K$40,2,FALSE),VLOOKUP(P32,String!$D$8:$E$44,2,FALSE))))*(2*Q32*R32)^2/386.4</f>
        <v>20.702510159289957</v>
      </c>
    </row>
    <row r="33" spans="5:19" x14ac:dyDescent="0.2">
      <c r="E33" s="33"/>
      <c r="F33" s="33"/>
      <c r="G33" s="33"/>
      <c r="H33" s="33"/>
      <c r="I33" s="33"/>
      <c r="J33" s="33"/>
      <c r="K33" s="33"/>
      <c r="N33" s="33"/>
      <c r="O33" s="33"/>
      <c r="P33" s="33"/>
      <c r="Q33" s="33"/>
      <c r="R33" s="33"/>
      <c r="S33" s="33"/>
    </row>
    <row r="34" spans="5:19" x14ac:dyDescent="0.2">
      <c r="E34" s="33"/>
      <c r="F34" s="33"/>
      <c r="G34" s="33"/>
      <c r="H34" s="33"/>
      <c r="I34" s="33"/>
      <c r="J34" s="53" t="s">
        <v>360</v>
      </c>
      <c r="K34" s="54">
        <f>SUM(K27:K32)</f>
        <v>137.08898613756634</v>
      </c>
      <c r="L34" s="87"/>
      <c r="N34" s="33"/>
      <c r="O34" s="33"/>
      <c r="P34" s="33"/>
      <c r="Q34" s="33"/>
      <c r="R34" s="53" t="s">
        <v>360</v>
      </c>
      <c r="S34" s="54">
        <f>SUM(S27:S32)</f>
        <v>135.08755948463522</v>
      </c>
    </row>
    <row r="35" spans="5:19" x14ac:dyDescent="0.2">
      <c r="E35" s="33"/>
      <c r="F35" s="33"/>
      <c r="G35" s="33"/>
      <c r="H35" s="33"/>
      <c r="I35" s="33"/>
      <c r="J35" s="38" t="s">
        <v>361</v>
      </c>
      <c r="K35" s="55">
        <f>K34/6</f>
        <v>22.848164356261055</v>
      </c>
      <c r="L35" s="88"/>
      <c r="N35" s="33"/>
      <c r="O35" s="33"/>
      <c r="P35" s="33"/>
      <c r="Q35" s="33"/>
      <c r="R35" s="38" t="s">
        <v>361</v>
      </c>
      <c r="S35" s="55">
        <f>S34/6</f>
        <v>22.514593247439205</v>
      </c>
    </row>
    <row r="36" spans="5:19" x14ac:dyDescent="0.2">
      <c r="E36" s="33"/>
      <c r="F36" s="33"/>
      <c r="G36" s="33"/>
      <c r="H36" s="33"/>
      <c r="I36" s="33"/>
      <c r="J36" s="38" t="s">
        <v>359</v>
      </c>
      <c r="K36" s="48">
        <f>MAX(K27:K32)-MIN(K27:K32)</f>
        <v>1.4784975785933696</v>
      </c>
      <c r="L36" s="28"/>
      <c r="N36" s="33"/>
      <c r="O36" s="33"/>
      <c r="P36" s="33"/>
      <c r="Q36" s="33"/>
      <c r="R36" s="38" t="s">
        <v>359</v>
      </c>
      <c r="S36" s="48">
        <f>MAX(S27:S32)-MIN(S27:S32)</f>
        <v>11.729555582823881</v>
      </c>
    </row>
    <row r="39" spans="5:19" x14ac:dyDescent="0.2">
      <c r="J39" s="26"/>
      <c r="Q39" s="23"/>
    </row>
    <row r="40" spans="5:19" x14ac:dyDescent="0.2">
      <c r="J40" s="27"/>
    </row>
    <row r="41" spans="5:19" x14ac:dyDescent="0.2">
      <c r="J41" s="26"/>
    </row>
    <row r="66" spans="13:13" x14ac:dyDescent="0.2">
      <c r="M66" s="23"/>
    </row>
    <row r="67" spans="13:13" x14ac:dyDescent="0.2">
      <c r="M67" s="23"/>
    </row>
    <row r="68" spans="13:13" x14ac:dyDescent="0.2">
      <c r="M68" s="23"/>
    </row>
  </sheetData>
  <sheetProtection password="AEEB" sheet="1" objects="1" scenarios="1"/>
  <mergeCells count="10">
    <mergeCell ref="E1:S1"/>
    <mergeCell ref="E3:S3"/>
    <mergeCell ref="E5:G5"/>
    <mergeCell ref="O24:Q24"/>
    <mergeCell ref="O25:Q25"/>
    <mergeCell ref="N6:O6"/>
    <mergeCell ref="E23:K23"/>
    <mergeCell ref="E24:G24"/>
    <mergeCell ref="N23:S23"/>
    <mergeCell ref="O8:S8"/>
  </mergeCells>
  <dataValidations count="9">
    <dataValidation type="list" allowBlank="1" showInputMessage="1" showErrorMessage="1" sqref="G10:G16 G27:G32 O27:O32">
      <formula1>Pitch</formula1>
    </dataValidation>
    <dataValidation type="list" allowBlank="1" showInputMessage="1" showErrorMessage="1" sqref="H27:H28">
      <formula1>Plain</formula1>
    </dataValidation>
    <dataValidation type="list" allowBlank="1" showInputMessage="1" showErrorMessage="1" sqref="F6 N25 F25">
      <formula1>"BW, NW, PB"</formula1>
    </dataValidation>
    <dataValidation type="list" allowBlank="1" showInputMessage="1" showErrorMessage="1" sqref="E12 E29">
      <formula1>"Plain, Wound"</formula1>
    </dataValidation>
    <dataValidation type="list" allowBlank="1" showInputMessage="1" showErrorMessage="1" sqref="H32">
      <formula1>IF(F25="PB",PhosBronze,(IF(F25="BW",Bronze,NickelWound)))</formula1>
    </dataValidation>
    <dataValidation type="list" allowBlank="1" showInputMessage="1" showErrorMessage="1" sqref="H29">
      <formula1>IF(E29="Plain",Plain,(IF(F25="PB",PhosBronze,(IF(F25="BW",Bronze,NickelWound)))))</formula1>
    </dataValidation>
    <dataValidation type="list" allowBlank="1" showInputMessage="1" showErrorMessage="1" sqref="H30">
      <formula1>IF(F25="PB",PhosBronze,(IF(F25="BW",Bronze,NickelWound)))</formula1>
    </dataValidation>
    <dataValidation type="list" allowBlank="1" showInputMessage="1" showErrorMessage="1" sqref="H31">
      <formula1>IF(F25="PB",PhosBronze,(IF(F25="BW",Bronze,NickelWound)))</formula1>
    </dataValidation>
    <dataValidation type="list" allowBlank="1" showInputMessage="1" showErrorMessage="1" sqref="O25">
      <formula1>IF(N25="BW",BWSet6,(IF(N25="PB",PBSet6,NWSet6)))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E1:X63"/>
  <sheetViews>
    <sheetView workbookViewId="0">
      <selection activeCell="F6" sqref="F6"/>
    </sheetView>
  </sheetViews>
  <sheetFormatPr defaultColWidth="9.140625" defaultRowHeight="12.75" x14ac:dyDescent="0.2"/>
  <cols>
    <col min="1" max="6" width="9.140625" style="21"/>
    <col min="7" max="7" width="9.140625" style="21" customWidth="1"/>
    <col min="8" max="8" width="12.5703125" style="21" bestFit="1" customWidth="1"/>
    <col min="9" max="9" width="9.5703125" style="21" bestFit="1" customWidth="1"/>
    <col min="10" max="10" width="10.5703125" style="21" bestFit="1" customWidth="1"/>
    <col min="11" max="11" width="9.140625" style="21" customWidth="1"/>
    <col min="12" max="12" width="15.140625" style="21" bestFit="1" customWidth="1"/>
    <col min="13" max="13" width="9.140625" style="21" customWidth="1"/>
    <col min="14" max="14" width="13.28515625" style="21" customWidth="1"/>
    <col min="15" max="15" width="12" style="21" bestFit="1" customWidth="1"/>
    <col min="16" max="16" width="12.5703125" style="21" bestFit="1" customWidth="1"/>
    <col min="17" max="18" width="12.5703125" style="21" customWidth="1"/>
    <col min="19" max="19" width="13.7109375" style="21" bestFit="1" customWidth="1"/>
    <col min="20" max="20" width="15.140625" style="21" bestFit="1" customWidth="1"/>
    <col min="21" max="22" width="9.140625" style="21" customWidth="1"/>
    <col min="23" max="16384" width="9.140625" style="21"/>
  </cols>
  <sheetData>
    <row r="1" spans="5:20" ht="23.25" x14ac:dyDescent="0.35">
      <c r="E1" s="90" t="s">
        <v>314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3" spans="5:20" ht="15.75" x14ac:dyDescent="0.25">
      <c r="E3" s="91" t="s">
        <v>241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</row>
    <row r="4" spans="5:20" x14ac:dyDescent="0.2">
      <c r="E4" s="33"/>
      <c r="F4" s="33"/>
      <c r="G4" s="33"/>
      <c r="H4" s="34"/>
      <c r="I4" s="34"/>
      <c r="J4" s="34"/>
      <c r="K4" s="34"/>
      <c r="L4" s="33"/>
      <c r="M4" s="33"/>
      <c r="N4" s="33"/>
      <c r="O4" s="33"/>
      <c r="P4" s="33"/>
      <c r="Q4" s="33"/>
      <c r="R4" s="33"/>
      <c r="S4" s="33"/>
      <c r="T4" s="33"/>
    </row>
    <row r="5" spans="5:20" x14ac:dyDescent="0.2">
      <c r="E5" s="92" t="s">
        <v>311</v>
      </c>
      <c r="F5" s="92"/>
      <c r="G5" s="92"/>
      <c r="H5" s="33"/>
      <c r="I5" s="34"/>
      <c r="J5" s="34"/>
      <c r="K5" s="53" t="s">
        <v>354</v>
      </c>
      <c r="L5" s="33"/>
      <c r="M5" s="72">
        <v>0</v>
      </c>
      <c r="N5" s="44" t="s">
        <v>242</v>
      </c>
      <c r="O5" s="34"/>
      <c r="P5" s="33"/>
      <c r="Q5" s="33"/>
      <c r="R5" s="33"/>
      <c r="S5" s="33"/>
      <c r="T5" s="33"/>
    </row>
    <row r="6" spans="5:20" x14ac:dyDescent="0.2">
      <c r="E6" s="33"/>
      <c r="F6" s="70" t="s">
        <v>356</v>
      </c>
      <c r="G6" s="33"/>
      <c r="H6" s="33"/>
      <c r="I6" s="35"/>
      <c r="J6" s="35"/>
      <c r="K6" s="71">
        <v>250</v>
      </c>
      <c r="L6" s="44" t="s">
        <v>355</v>
      </c>
      <c r="M6" s="37">
        <f>ROUND(AVERAGE(VLOOKUP(MIN(J10:J21),Pitch!$A$58:$C$106,3,FALSE),(VLOOKUP(MAX(J10:J21),Pitch!$A$58:$C$106,3,FALSE))),0)</f>
        <v>54</v>
      </c>
      <c r="N6" s="39" t="s">
        <v>238</v>
      </c>
      <c r="O6" s="33"/>
      <c r="P6" s="33"/>
      <c r="Q6" s="33"/>
      <c r="R6" s="33"/>
      <c r="S6" s="33"/>
      <c r="T6" s="33"/>
    </row>
    <row r="7" spans="5:20" x14ac:dyDescent="0.2">
      <c r="E7" s="33"/>
      <c r="F7" s="33"/>
      <c r="G7" s="33"/>
      <c r="H7" s="33"/>
      <c r="I7" s="33"/>
      <c r="J7" s="33"/>
      <c r="K7" s="33"/>
      <c r="L7" s="33"/>
      <c r="M7" s="38" t="str">
        <f>VLOOKUP(M6,Pitch!$G$58:$I$106,3,FALSE)</f>
        <v>F#3</v>
      </c>
      <c r="N7" s="39" t="s">
        <v>239</v>
      </c>
      <c r="O7" s="33"/>
      <c r="P7" s="33"/>
      <c r="Q7" s="33"/>
      <c r="R7" s="33"/>
      <c r="S7" s="33"/>
      <c r="T7" s="33"/>
    </row>
    <row r="8" spans="5:20" x14ac:dyDescent="0.2">
      <c r="E8" s="33"/>
      <c r="F8" s="33"/>
      <c r="G8" s="33"/>
      <c r="H8" s="33"/>
      <c r="I8" s="36"/>
      <c r="J8" s="36"/>
      <c r="K8" s="36"/>
      <c r="L8" s="41"/>
      <c r="M8" s="42"/>
      <c r="N8" s="38"/>
      <c r="O8" s="96" t="s">
        <v>366</v>
      </c>
      <c r="P8" s="96"/>
      <c r="Q8" s="96"/>
      <c r="R8" s="96"/>
      <c r="S8" s="96"/>
      <c r="T8" s="33"/>
    </row>
    <row r="9" spans="5:20" x14ac:dyDescent="0.2">
      <c r="E9" s="33"/>
      <c r="F9" s="33"/>
      <c r="G9" s="89" t="s">
        <v>3</v>
      </c>
      <c r="H9" s="89" t="s">
        <v>149</v>
      </c>
      <c r="I9" s="34" t="s">
        <v>357</v>
      </c>
      <c r="J9" s="53" t="s">
        <v>1</v>
      </c>
      <c r="K9" s="53" t="s">
        <v>2</v>
      </c>
      <c r="L9" s="53" t="s">
        <v>358</v>
      </c>
      <c r="M9" s="40" t="s">
        <v>159</v>
      </c>
      <c r="N9" s="40" t="s">
        <v>354</v>
      </c>
      <c r="O9" s="62" t="s">
        <v>367</v>
      </c>
      <c r="P9" s="62" t="s">
        <v>368</v>
      </c>
      <c r="Q9" s="62" t="s">
        <v>156</v>
      </c>
      <c r="R9" s="62" t="s">
        <v>157</v>
      </c>
      <c r="S9" s="62" t="s">
        <v>155</v>
      </c>
      <c r="T9" s="33"/>
    </row>
    <row r="10" spans="5:20" x14ac:dyDescent="0.2">
      <c r="E10" s="33"/>
      <c r="F10" s="43" t="s">
        <v>137</v>
      </c>
      <c r="G10" s="73" t="s">
        <v>63</v>
      </c>
      <c r="H10" s="44" t="str">
        <f>VLOOKUP(S10,String!$B$53:$C$78, 2, TRUE)</f>
        <v>PL0115</v>
      </c>
      <c r="I10" s="74">
        <v>25.5</v>
      </c>
      <c r="J10" s="45">
        <f>VLOOKUP(G10, Pitch!$A$4:$B$52, 2, FALSE)</f>
        <v>329.62755691287043</v>
      </c>
      <c r="K10" s="46">
        <f t="shared" ref="K10:K21" si="0">S10*(2*I10*J10)^2/386.4</f>
        <v>21.429788166387315</v>
      </c>
      <c r="L10" s="33"/>
      <c r="M10" s="47">
        <f>SUM(SUM(M6-VLOOKUP(G10,Pitch!$F$58:$G$106,2,FALSE)))/SUM(VLOOKUP(VLOOKUP(MAX(J10:J21),Pitch!$A$58:$B$106,2,FALSE),Pitch!$F$58:$G$106,2,FALSE)-VLOOKUP(VLOOKUP(MIN(J10:J21),Pitch!$A$58:$B$106,2,FALSE),Pitch!$F$58:$G$106,2,FALSE))*M5</f>
        <v>0</v>
      </c>
      <c r="N10" s="48">
        <f>(K6/12)*(1+M10)</f>
        <v>20.833333333333332</v>
      </c>
      <c r="O10" s="68">
        <f t="shared" ref="O10:O21" si="1">N10*386.4/(2*J10*I10)^2</f>
        <v>2.8484493730278999E-5</v>
      </c>
      <c r="P10" s="68">
        <f>IF(O10&lt;String!$B$53,String!$B$53,IF(O10&gt;String!$B$78,String!$B$78,O10))</f>
        <v>2.8484493730278999E-5</v>
      </c>
      <c r="Q10" s="68">
        <f>SMALL(String!$B$53:$B$78,COUNTIF(String!$B$53:$B$78,"&lt;"&amp;P10)+1)</f>
        <v>2.9300000000000001E-5</v>
      </c>
      <c r="R10" s="68">
        <f>LARGE(String!$B$53:$B$78,COUNTIF(String!$B$53:$B$78,"&gt;"&amp;P10)+1)</f>
        <v>2.6800000000000001E-5</v>
      </c>
      <c r="S10" s="68">
        <f t="shared" ref="S10:S14" si="2">IF((P10-Q10)&gt;(R10-P10),Q10,R10)</f>
        <v>2.9300000000000001E-5</v>
      </c>
      <c r="T10" s="33"/>
    </row>
    <row r="11" spans="5:20" x14ac:dyDescent="0.2">
      <c r="E11" s="33"/>
      <c r="F11" s="34" t="s">
        <v>138</v>
      </c>
      <c r="G11" s="73" t="s">
        <v>63</v>
      </c>
      <c r="H11" s="44" t="str">
        <f>VLOOKUP(S11,String!$B$53:$C$78, 2, TRUE)</f>
        <v>PL0115</v>
      </c>
      <c r="I11" s="74">
        <v>25.5</v>
      </c>
      <c r="J11" s="45">
        <f>VLOOKUP(G11, Pitch!$A$4:$B$52, 2, FALSE)</f>
        <v>329.62755691287043</v>
      </c>
      <c r="K11" s="46">
        <f t="shared" si="0"/>
        <v>21.429788166387315</v>
      </c>
      <c r="L11" s="48">
        <f>K10+K11</f>
        <v>42.85957633277463</v>
      </c>
      <c r="M11" s="47">
        <f>SUM(SUM(M6-VLOOKUP(G11,Pitch!$F$58:$G$106,2,FALSE)))/SUM(VLOOKUP(VLOOKUP(MAX(J10:J21),Pitch!$A$58:$B$106,2,FALSE),Pitch!$F$58:$G$106,2,FALSE)-VLOOKUP(VLOOKUP(MIN(J10:J21),Pitch!$A$58:$B$106,2,FALSE),Pitch!$F$58:$G$106,2,FALSE))*M5</f>
        <v>0</v>
      </c>
      <c r="N11" s="48">
        <f>(K6/12)*(1+M11)</f>
        <v>20.833333333333332</v>
      </c>
      <c r="O11" s="68">
        <f t="shared" si="1"/>
        <v>2.8484493730278999E-5</v>
      </c>
      <c r="P11" s="68">
        <f>IF(O11&lt;String!$B$53,String!$B$53,IF(O11&gt;String!$B$78,String!$B$78,O11))</f>
        <v>2.8484493730278999E-5</v>
      </c>
      <c r="Q11" s="68">
        <f>SMALL(String!$B$53:$B$78,COUNTIF(String!$B$53:$B$78,"&lt;"&amp;P11)+1)</f>
        <v>2.9300000000000001E-5</v>
      </c>
      <c r="R11" s="68">
        <f>LARGE(String!$B$53:$B$78,COUNTIF(String!$B$53:$B$78,"&gt;"&amp;P11)+1)</f>
        <v>2.6800000000000001E-5</v>
      </c>
      <c r="S11" s="68">
        <f t="shared" si="2"/>
        <v>2.9300000000000001E-5</v>
      </c>
      <c r="T11" s="33"/>
    </row>
    <row r="12" spans="5:20" x14ac:dyDescent="0.2">
      <c r="E12" s="33"/>
      <c r="F12" s="34" t="s">
        <v>144</v>
      </c>
      <c r="G12" s="73" t="s">
        <v>58</v>
      </c>
      <c r="H12" s="44" t="str">
        <f>VLOOKUP(S12,String!$B$53:$C$78, 2, TRUE)</f>
        <v>PL015</v>
      </c>
      <c r="I12" s="74">
        <v>25.5</v>
      </c>
      <c r="J12" s="45">
        <f>VLOOKUP(G12, Pitch!$A$4:$B$52, 2, FALSE)</f>
        <v>246.94165062806238</v>
      </c>
      <c r="K12" s="46">
        <f t="shared" si="0"/>
        <v>20.458319729978506</v>
      </c>
      <c r="L12" s="33"/>
      <c r="M12" s="47">
        <f>SUM(SUM(M6-VLOOKUP(G12,Pitch!$F$58:$G$106,2,FALSE)))/SUM(VLOOKUP(VLOOKUP(MAX(J10:J21),Pitch!$A$58:$B$106,2,FALSE),Pitch!$F$58:$G$106,2,FALSE)-VLOOKUP(VLOOKUP(MIN(J10:J21),Pitch!$A$58:$B$106,2,FALSE),Pitch!$F$58:$G$106,2,FALSE))*M5</f>
        <v>0</v>
      </c>
      <c r="N12" s="48">
        <f>(K6/12)*(1+M12)</f>
        <v>20.833333333333332</v>
      </c>
      <c r="O12" s="68">
        <f t="shared" si="1"/>
        <v>5.0753597902364202E-5</v>
      </c>
      <c r="P12" s="68">
        <f>IF(O12&lt;String!$B$53,String!$B$53,IF(O12&gt;String!$B$78,String!$B$78,O12))</f>
        <v>5.0753597902364202E-5</v>
      </c>
      <c r="Q12" s="68">
        <f>SMALL(String!$B$53:$B$78,COUNTIF(String!$B$53:$B$78,"&lt;"&amp;P12)+1)</f>
        <v>5.1999999999999997E-5</v>
      </c>
      <c r="R12" s="68">
        <f>LARGE(String!$B$53:$B$78,COUNTIF(String!$B$53:$B$78,"&gt;"&amp;P12)+1)</f>
        <v>4.9839999999999997E-5</v>
      </c>
      <c r="S12" s="68">
        <f t="shared" si="2"/>
        <v>4.9839999999999997E-5</v>
      </c>
      <c r="T12" s="33"/>
    </row>
    <row r="13" spans="5:20" x14ac:dyDescent="0.2">
      <c r="E13" s="33"/>
      <c r="F13" s="34" t="s">
        <v>143</v>
      </c>
      <c r="G13" s="73" t="s">
        <v>58</v>
      </c>
      <c r="H13" s="44" t="str">
        <f>VLOOKUP(S13,String!$B$53:$C$78, 2, TRUE)</f>
        <v>PL015</v>
      </c>
      <c r="I13" s="74">
        <v>25.5</v>
      </c>
      <c r="J13" s="45">
        <f>VLOOKUP(G13, Pitch!$A$4:$B$52, 2, FALSE)</f>
        <v>246.94165062806238</v>
      </c>
      <c r="K13" s="46">
        <f t="shared" si="0"/>
        <v>20.458319729978506</v>
      </c>
      <c r="L13" s="48">
        <f>K12+K13</f>
        <v>40.916639459957011</v>
      </c>
      <c r="M13" s="47">
        <f>SUM(SUM(M6-VLOOKUP(G13,Pitch!$F$58:$G$106,2,FALSE)))/SUM(VLOOKUP(VLOOKUP(MAX(J10:J21),Pitch!$A$58:$B$106,2,FALSE),Pitch!$F$58:$G$106,2,FALSE)-VLOOKUP(VLOOKUP(MIN(J10:J21),Pitch!$A$58:$B$106,2,FALSE),Pitch!$F$58:$G$106,2,FALSE))*M5</f>
        <v>0</v>
      </c>
      <c r="N13" s="48">
        <f>(K6/12)*(1+M13)</f>
        <v>20.833333333333332</v>
      </c>
      <c r="O13" s="68">
        <f t="shared" si="1"/>
        <v>5.0753597902364202E-5</v>
      </c>
      <c r="P13" s="68">
        <f>IF(O13&lt;String!$B$53,String!$B$53,IF(O13&gt;String!$B$78,String!$B$78,O13))</f>
        <v>5.0753597902364202E-5</v>
      </c>
      <c r="Q13" s="68">
        <f>SMALL(String!$B$53:$B$78,COUNTIF(String!$B$53:$B$78,"&lt;"&amp;P13)+1)</f>
        <v>5.1999999999999997E-5</v>
      </c>
      <c r="R13" s="68">
        <f>LARGE(String!$B$53:$B$78,COUNTIF(String!$B$53:$B$78,"&gt;"&amp;P13)+1)</f>
        <v>4.9839999999999997E-5</v>
      </c>
      <c r="S13" s="68">
        <f t="shared" si="2"/>
        <v>4.9839999999999997E-5</v>
      </c>
      <c r="T13" s="33"/>
    </row>
    <row r="14" spans="5:20" x14ac:dyDescent="0.2">
      <c r="E14" s="70" t="s">
        <v>315</v>
      </c>
      <c r="F14" s="34" t="s">
        <v>142</v>
      </c>
      <c r="G14" s="73" t="s">
        <v>54</v>
      </c>
      <c r="H14" s="44" t="str">
        <f>IF(E14="Plain",VLOOKUP(S14,String!$B$53:$C$78,2,TRUE),IF(F6="NW",VLOOKUP(S14,String!$E$53:$FC$89,2,TRUE),IF(F6="PB",VLOOKUP(S14,String!$H$53:$I$93,2,TRUE),IF(F6="BW",VLOOKUP(S14,String!$K$53:$L$85,2,TRUE)))))</f>
        <v>PB020</v>
      </c>
      <c r="I14" s="74">
        <v>25.5</v>
      </c>
      <c r="J14" s="45">
        <f>VLOOKUP(G14, Pitch!$A$4:$B$52, 2, FALSE)</f>
        <v>195.99771799087486</v>
      </c>
      <c r="K14" s="46">
        <f t="shared" si="0"/>
        <v>20.96099351520904</v>
      </c>
      <c r="L14" s="33"/>
      <c r="M14" s="47">
        <f>SUM(SUM(M6-VLOOKUP(G14,Pitch!$F$58:$G$106,2,FALSE)))/SUM(VLOOKUP(VLOOKUP(MAX(J10:J21),Pitch!$A$58:$B$106,2,FALSE),Pitch!$F$58:$G$106,2,FALSE)-VLOOKUP(VLOOKUP(MIN(J10:J21),Pitch!$A$58:$B$106,2,FALSE),Pitch!$F$58:$G$106,2,FALSE))*M5</f>
        <v>0</v>
      </c>
      <c r="N14" s="48">
        <f>(K6/12)*(1+M14)</f>
        <v>20.833333333333332</v>
      </c>
      <c r="O14" s="68">
        <f t="shared" si="1"/>
        <v>8.0566314701383958E-5</v>
      </c>
      <c r="P14" s="68">
        <f>IF(E14="Plain",IF(O14&lt;String!$B$53,String!$B$53,IF(O14&gt;String!$B$78,String!$B$78,O14)),IF(F6="NW",IF(O14&lt;String!$E$53,String!$E$53,IF(O14&gt;String!$E$89,String!$E$89,O14)),IF(F6="BW",IF(O14&lt;String!$K$53,String!$K$53,IF(O14&gt;String!$K$85,String!$K$85,O14)),IF(O14&lt;String!$H$53,String!$H$53,IF(O14&gt;String!$H$93,String!$H$93,O14)))))</f>
        <v>8.0566314701383958E-5</v>
      </c>
      <c r="Q14" s="50">
        <f>IF(E14="Plain",SMALL(String!$B$53:$B$78,COUNTIF(String!$B$53:$B$78,"&lt;"&amp;P14)+1),IF(F6="NW",SMALL(String!$E$53:$F$89,COUNTIF(String!$E$53:$E$89,"&lt;"&amp;P14)+1),IF(F6="BW",SMALL(String!$K$53:$K$85,COUNTIF(String!$K$53:$K$85,"&lt;"&amp;P14)+1),SMALL(String!$H$53:$H$93,COUNTIF(String!$H$53:$H$93,"&lt;"&amp;P14)+1))))</f>
        <v>8.106E-5</v>
      </c>
      <c r="R14" s="50">
        <f>IF(E14="Plain",LARGE(String!$B$53:$B$78,COUNTIF(String!$B$53:$B$78,"&gt;"&amp;P14)+1),IF(F6="NW",LARGE(String!E$53:$E$89,COUNTIF(String!$E$53:$E$89,"&gt;"&amp;P14)+1),IF(F6="BW",LARGE(String!$K$53:$K$85,COUNTIF(String!$K$53:$K$85,"&gt;"&amp;P14)+1),LARGE(String!$H$53:$H$93,COUNTIF(String!$H$53:$H$93,"&gt;"&amp;P14)+1))))</f>
        <v>5.9692499999999998E-5</v>
      </c>
      <c r="S14" s="68">
        <f t="shared" si="2"/>
        <v>8.106E-5</v>
      </c>
      <c r="T14" s="33"/>
    </row>
    <row r="15" spans="5:20" x14ac:dyDescent="0.2">
      <c r="E15" s="33"/>
      <c r="F15" s="34" t="s">
        <v>141</v>
      </c>
      <c r="G15" s="73" t="s">
        <v>66</v>
      </c>
      <c r="H15" s="44" t="str">
        <f>VLOOKUP(S15,String!$B$53:$C$78, 2, TRUE)</f>
        <v>PL0095</v>
      </c>
      <c r="I15" s="74">
        <v>25.5</v>
      </c>
      <c r="J15" s="45">
        <f>VLOOKUP(G15, Pitch!$A$4:$B$52, 2, FALSE)</f>
        <v>391.99543598174995</v>
      </c>
      <c r="K15" s="46">
        <f t="shared" si="0"/>
        <v>20.67654874754647</v>
      </c>
      <c r="L15" s="48">
        <f>K14+K15</f>
        <v>41.63754226275551</v>
      </c>
      <c r="M15" s="47">
        <f>SUM(SUM(M6-VLOOKUP(G15,Pitch!$F$58:$G$106,2,FALSE)))/SUM(VLOOKUP(VLOOKUP(MAX(J10:J21),Pitch!$A$58:$B$106,2,FALSE),Pitch!$F$58:$G$106,2,FALSE)-VLOOKUP(VLOOKUP(MIN(J10:J21),Pitch!$A$58:$B$106,2,FALSE),Pitch!$F$58:$G$106,2,FALSE))*M5</f>
        <v>0</v>
      </c>
      <c r="N15" s="48">
        <f>(K6/12)*(1+M15)</f>
        <v>20.833333333333332</v>
      </c>
      <c r="O15" s="68">
        <f t="shared" si="1"/>
        <v>2.0141578675345966E-5</v>
      </c>
      <c r="P15" s="68">
        <f>IF(O15&lt;String!$B$53,String!$B$53,IF(O15&gt;String!$B$78,String!$B$78,O15))</f>
        <v>2.0141578675345966E-5</v>
      </c>
      <c r="Q15" s="68">
        <f>SMALL(String!$B$53:$B$78,COUNTIF(String!$B$53:$B$78,"&lt;"&amp;P15)+1)</f>
        <v>2.215E-5</v>
      </c>
      <c r="R15" s="68">
        <f>LARGE(String!$B$53:$B$78,COUNTIF(String!$B$53:$B$78,"&gt;"&amp;P15)+1)</f>
        <v>1.999E-5</v>
      </c>
      <c r="S15" s="68">
        <f t="shared" ref="S15" si="3">IF((P15-Q15)&gt;(R15-P15),Q15,R15)</f>
        <v>1.999E-5</v>
      </c>
      <c r="T15" s="33"/>
    </row>
    <row r="16" spans="5:20" x14ac:dyDescent="0.2">
      <c r="E16" s="33"/>
      <c r="F16" s="34" t="s">
        <v>140</v>
      </c>
      <c r="G16" s="73" t="s">
        <v>49</v>
      </c>
      <c r="H16" s="44" t="str">
        <f>IF(F6="NW", VLOOKUP(S16,String!$E$53:$F$89, 2, TRUE), IF(F6="PB", VLOOKUP(S16,String!$H$53:$I$93, 2, TRUE), IF(F6="BW", VLOOKUP(S16,String!$K$53:$L$85, 2, TRUE))))</f>
        <v>PB027</v>
      </c>
      <c r="I16" s="74">
        <v>25.5</v>
      </c>
      <c r="J16" s="45">
        <f>VLOOKUP(G16, Pitch!$A$4:$B$52, 2, FALSE)</f>
        <v>146.8323839587039</v>
      </c>
      <c r="K16" s="46">
        <f t="shared" si="0"/>
        <v>21.528075565162357</v>
      </c>
      <c r="L16" s="33"/>
      <c r="M16" s="47">
        <f>SUM(SUM(M6-VLOOKUP(G16,Pitch!$F$58:$G$106,2,FALSE)))/SUM(VLOOKUP(VLOOKUP(MAX(J10:J21),Pitch!$A$58:$B$106,2,FALSE),Pitch!$F$58:$G$106,2,FALSE)-VLOOKUP(VLOOKUP(MIN(J10:J21),Pitch!$A$58:$B$106,2,FALSE),Pitch!$F$58:$G$106,2,FALSE))*M5</f>
        <v>0</v>
      </c>
      <c r="N16" s="48">
        <f>(K6/12)*(1+M16)</f>
        <v>20.833333333333332</v>
      </c>
      <c r="O16" s="68">
        <f t="shared" si="1"/>
        <v>1.4355285298550837E-4</v>
      </c>
      <c r="P16" s="68">
        <f>IF(F6="NW",IF(O16&lt;String!$E$53,String!$E$53,IF(O16&gt;String!$E$89,String!$E$89,O16)),IF(F6="BW",IF(O16&lt;String!$K$53,String!$K$53,IF(O16&gt;String!$K$85,String!$K$85,O16)),IF(O16&lt;String!$H$53,String!$H$53,IF(O16&gt;String!$H$93,String!$H$93,O16))))</f>
        <v>1.4355285298550837E-4</v>
      </c>
      <c r="Q16" s="50">
        <f>IF(F6="NW",SMALL(String!$E$53:$E$89,COUNTIF(String!$E$53:$E$89,"&lt;"&amp;P16)+1),IF(F6="BW",SMALL(String!$K$53:$K$85,COUNTIF(String!$K$53:$K$85,"&lt;"&amp;P16)+1),SMALL(String!$H$53:$H$93,COUNTIF(String!$H$53:$H$93,"&lt;"&amp;P16)+1)))</f>
        <v>1.4834000000000001E-4</v>
      </c>
      <c r="R16" s="50">
        <f>IF(F6="NW",LARGE(String!$E$53:$E$89,COUNTIF(String!$E$53:$E$89,"&gt;"&amp;P16)+1),IF(F6="BW",LARGE(String!$K$53:$K$85,COUNTIF(String!$K$53:$K$85,"&gt;"&amp;P16)+1),LARGE(String!$H$53:$H$93,COUNTIF(String!$H$53:$H$93,"&gt;"&amp;P16)+1)))</f>
        <v>1.3640000000000001E-4</v>
      </c>
      <c r="S16" s="68">
        <f t="shared" ref="S16:S17" si="4">IF((P16-Q16)&gt;(R16-P16),Q16,R16)</f>
        <v>1.4834000000000001E-4</v>
      </c>
      <c r="T16" s="33"/>
    </row>
    <row r="17" spans="5:22" x14ac:dyDescent="0.2">
      <c r="E17" s="33"/>
      <c r="F17" s="34" t="s">
        <v>139</v>
      </c>
      <c r="G17" s="73" t="s">
        <v>61</v>
      </c>
      <c r="H17" s="44" t="str">
        <f>VLOOKUP(S17,String!$B$53:$C$78, 2, TRUE)</f>
        <v>PL013</v>
      </c>
      <c r="I17" s="74">
        <v>25.5</v>
      </c>
      <c r="J17" s="45">
        <f>VLOOKUP(G17, Pitch!$A$4:$B$52, 2, FALSE)</f>
        <v>293.66476791740797</v>
      </c>
      <c r="K17" s="46">
        <f t="shared" si="0"/>
        <v>21.734155296202765</v>
      </c>
      <c r="L17" s="48">
        <f>K16+K17</f>
        <v>43.262230861365126</v>
      </c>
      <c r="M17" s="47">
        <f>SUM(SUM(M6-VLOOKUP(G17,Pitch!$F$58:$G$106,2,FALSE)))/SUM(VLOOKUP(VLOOKUP(MAX(J10:J21),Pitch!$A$58:$B$106,2,FALSE),Pitch!$F$58:$G$106,2,FALSE)-VLOOKUP(VLOOKUP(MIN(J10:J21),Pitch!$A$58:$B$106,2,FALSE),Pitch!$F$58:$G$106,2,FALSE))*M5</f>
        <v>0</v>
      </c>
      <c r="N17" s="48">
        <f>(K6/12)*(1+M17)</f>
        <v>20.833333333333332</v>
      </c>
      <c r="O17" s="68">
        <f t="shared" si="1"/>
        <v>3.5888213246377051E-5</v>
      </c>
      <c r="P17" s="68">
        <f>IF(O17&lt;String!$B$53,String!$B$53,IF(O17&gt;String!$B$78,String!$B$78,O17))</f>
        <v>3.5888213246377051E-5</v>
      </c>
      <c r="Q17" s="68">
        <f>SMALL(String!$B$53:$B$78,COUNTIF(String!$B$53:$B$78,"&lt;"&amp;P17)+1)</f>
        <v>3.7440000000000001E-5</v>
      </c>
      <c r="R17" s="68">
        <f>LARGE(String!$B$53:$B$78,COUNTIF(String!$B$53:$B$78,"&gt;"&amp;P17)+1)</f>
        <v>3.4100000000000002E-5</v>
      </c>
      <c r="S17" s="68">
        <f t="shared" si="4"/>
        <v>3.7440000000000001E-5</v>
      </c>
      <c r="T17" s="33"/>
    </row>
    <row r="18" spans="5:22" x14ac:dyDescent="0.2">
      <c r="E18" s="33"/>
      <c r="F18" s="34" t="s">
        <v>145</v>
      </c>
      <c r="G18" s="73" t="s">
        <v>44</v>
      </c>
      <c r="H18" s="44" t="str">
        <f>IF(F6="NW", VLOOKUP(S18,String!$E$53:$F$89, 2, TRUE), IF(F6="PB", VLOOKUP(S18,String!$H$53:$I$93, 2, TRUE), IF(F6="BW", VLOOKUP(S18,String!$K$53:$L$85, 2, TRUE))))</f>
        <v>PB035</v>
      </c>
      <c r="I18" s="74">
        <v>25.5</v>
      </c>
      <c r="J18" s="45">
        <f>VLOOKUP(G18, Pitch!$A$4:$B$52, 2, FALSE)</f>
        <v>110.00000000000006</v>
      </c>
      <c r="K18" s="46">
        <f t="shared" si="0"/>
        <v>20.659674340062132</v>
      </c>
      <c r="L18" s="33"/>
      <c r="M18" s="47">
        <f>SUM(SUM(M6-VLOOKUP(G18,Pitch!$F$58:$G$106,2,FALSE)))/SUM(VLOOKUP(VLOOKUP(MAX(J10:J21),Pitch!$A$58:$B$106,2,FALSE),Pitch!$F$58:$G$106,2,FALSE)-VLOOKUP(VLOOKUP(MIN(J10:J21),Pitch!$A$58:$B$106,2,FALSE),Pitch!$F$58:$G$106,2,FALSE))*M5</f>
        <v>0</v>
      </c>
      <c r="N18" s="48">
        <f>(K6/12)*(1+M18)</f>
        <v>20.833333333333332</v>
      </c>
      <c r="O18" s="68">
        <f t="shared" si="1"/>
        <v>2.5578210542035617E-4</v>
      </c>
      <c r="P18" s="68">
        <f>IF(F6="NW",IF(O18&lt;String!$E$53,String!$E$53,IF(O18&gt;String!$E$89,String!$E$89,O18)),IF(F6="BW",IF(O18&lt;String!$K$53,String!$K$53,IF(O18&gt;String!$K$85,String!$K$85,O18)),IF(O18&lt;String!$H$53,String!$H$53,IF(O18&gt;String!$H$93,String!$H$93,O18))))</f>
        <v>2.5578210542035617E-4</v>
      </c>
      <c r="Q18" s="50">
        <f>IF(F6="NW",SMALL(String!$E$53:$E$89,COUNTIF(String!$E$53:$E$89,"&lt;"&amp;P18)+1),IF(F6="BW",SMALL(String!$K$53:$K$85,COUNTIF(String!$K$53:$K$85,"&lt;"&amp;P18)+1),SMALL(String!$H$53:$H$93,COUNTIF(String!$H$53:$H$93,"&lt;"&amp;P18)+1)))</f>
        <v>2.6830000000000002E-4</v>
      </c>
      <c r="R18" s="50">
        <f>IF(F6="NW",LARGE(String!$E$53:$E$89,COUNTIF(String!$E$53:$E$89,"&gt;"&amp;P18)+1),IF(F6="BW",LARGE(String!$K$53:$K$85,COUNTIF(String!$K$53:$K$85,"&gt;"&amp;P18)+1),LARGE(String!$H$53:$H$93,COUNTIF(String!$H$53:$H$93,"&gt;"&amp;P18)+1)))</f>
        <v>2.5365000000000001E-4</v>
      </c>
      <c r="S18" s="68">
        <f t="shared" ref="S18" si="5">IF((P18-Q18)&gt;(R18-P18),Q18,R18)</f>
        <v>2.5365000000000001E-4</v>
      </c>
      <c r="T18" s="33"/>
    </row>
    <row r="19" spans="5:22" x14ac:dyDescent="0.2">
      <c r="E19" s="70" t="s">
        <v>154</v>
      </c>
      <c r="F19" s="34" t="s">
        <v>146</v>
      </c>
      <c r="G19" s="73" t="s">
        <v>56</v>
      </c>
      <c r="H19" s="44" t="str">
        <f>IF(E19="Plain",VLOOKUP(S19,String!$B$53:$C$78,2,TRUE),IF(F6="NW",VLOOKUP(S19,String!$E$53:$FC$89,2,TRUE),IF(F6="PB",VLOOKUP(S19,String!$H$53:$I$93,2,TRUE),IF(F6="BW",VLOOKUP(S19,String!$K$53:$L$85,2,TRUE)))))</f>
        <v>PL017</v>
      </c>
      <c r="I19" s="74">
        <v>25.5</v>
      </c>
      <c r="J19" s="45">
        <f>VLOOKUP(G19, Pitch!$A$4:$B$52, 2, FALSE)</f>
        <v>220.00000000000026</v>
      </c>
      <c r="K19" s="46">
        <f t="shared" si="0"/>
        <v>20.857596708074581</v>
      </c>
      <c r="L19" s="48">
        <f>K18+K19</f>
        <v>41.517271048136713</v>
      </c>
      <c r="M19" s="47">
        <f>SUM(SUM(M6-VLOOKUP(G19,Pitch!$F$58:$G$106,2,FALSE)))/SUM(VLOOKUP(VLOOKUP(MAX(J10:J21),Pitch!$A$58:$B$106,2,FALSE),Pitch!$F$58:$G$106,2,FALSE)-VLOOKUP(VLOOKUP(MIN(J10:J21),Pitch!$A$58:$B$106,2,FALSE),Pitch!$F$58:$G$106,2,FALSE))*M5</f>
        <v>0</v>
      </c>
      <c r="N19" s="48">
        <f>(K6/12)*(1+M19)</f>
        <v>20.833333333333332</v>
      </c>
      <c r="O19" s="68">
        <f t="shared" si="1"/>
        <v>6.3945526355088962E-5</v>
      </c>
      <c r="P19" s="68">
        <f>IF(E19="Plain",IF(O19&lt;String!$B$53,String!$B$53,IF(O19&gt;String!$B$78,String!$B$78,O19)),IF(F6="NW",IF(O19&lt;String!$E$53,String!$E$53,IF(O19&gt;String!$E$89,String!$E$89,O19)),IF(F6="BW",IF(O19&lt;String!$K$53,String!$K$53,IF(O19&gt;String!$K$85,String!$K$85,O19)),IF(O19&lt;String!$H$53,String!$H$53,IF(O19&gt;String!$H$93,String!$H$93,O19)))))</f>
        <v>6.3945526355088962E-5</v>
      </c>
      <c r="Q19" s="50">
        <f>IF(E19="Plain",SMALL(String!$B$53:$B$78,COUNTIF(String!$B$53:$B$78,"&lt;"&amp;P19)+1),IF(F6="NW",SMALL(String!$E$53:$F$89,COUNTIF(String!$E$53:$E$89,"&lt;"&amp;P19)+1),IF(F6="BW",SMALL(String!$K$53:$K$85,COUNTIF(String!$K$53:$K$85,"&lt;"&amp;P19)+1),SMALL(String!$H$53:$H$93,COUNTIF(String!$H$53:$H$93,"&lt;"&amp;P19)+1))))</f>
        <v>6.402E-5</v>
      </c>
      <c r="R19" s="50">
        <f>IF(E19="Plain",LARGE(String!$B$53:$B$78,COUNTIF(String!$B$53:$B$78,"&gt;"&amp;P19)+1),IF(F6="NW",LARGE(String!E$53:$E$89,COUNTIF(String!$E$53:$E$89,"&gt;"&amp;P19)+1),IF(F6="BW",LARGE(String!$K$53:$K$85,COUNTIF(String!$K$53:$K$85,"&gt;"&amp;P19)+1),LARGE(String!$H$53:$H$93,COUNTIF(String!$H$53:$H$93,"&gt;"&amp;P19)+1))))</f>
        <v>5.9700000000000001E-5</v>
      </c>
      <c r="S19" s="68">
        <f t="shared" ref="S19:S21" si="6">IF((P19-Q19)&gt;(R19-P19),Q19,R19)</f>
        <v>6.402E-5</v>
      </c>
      <c r="T19" s="33"/>
    </row>
    <row r="20" spans="5:22" x14ac:dyDescent="0.2">
      <c r="E20" s="33"/>
      <c r="F20" s="34" t="s">
        <v>147</v>
      </c>
      <c r="G20" s="73" t="s">
        <v>39</v>
      </c>
      <c r="H20" s="44" t="str">
        <f>IF(F6="NW", VLOOKUP(S20,String!$E$53:$F$89, 2, TRUE), IF(F6="PB", VLOOKUP(S20,String!$H$53:$I$93, 2, TRUE), IF(F6="BW", VLOOKUP(S20,String!$K$53:$L$85, 2, TRUE))))</f>
        <v>PB047</v>
      </c>
      <c r="I20" s="74">
        <v>25.5</v>
      </c>
      <c r="J20" s="45">
        <f>VLOOKUP(G20, Pitch!$A$4:$B$52, 2, FALSE)</f>
        <v>82.406889228217523</v>
      </c>
      <c r="K20" s="46">
        <f t="shared" si="0"/>
        <v>20.702510159289957</v>
      </c>
      <c r="L20" s="33"/>
      <c r="M20" s="47">
        <f>SUM(SUM(M6-VLOOKUP(G20,Pitch!$F$58:$G$106,2,FALSE)))/SUM(VLOOKUP(VLOOKUP(MAX(J10:J21),Pitch!$A$58:$B$106,2,FALSE),Pitch!$F$58:$G$106,2,FALSE)-VLOOKUP(VLOOKUP(MIN(J10:J21),Pitch!$A$58:$B$106,2,FALSE),Pitch!$F$58:$G$106,2,FALSE))*M5</f>
        <v>0</v>
      </c>
      <c r="N20" s="48">
        <f>(K6/12)*(1+M20)</f>
        <v>20.833333333333332</v>
      </c>
      <c r="O20" s="68">
        <f t="shared" si="1"/>
        <v>4.5575189968446496E-4</v>
      </c>
      <c r="P20" s="68">
        <f>IF(F6="NW",IF(O20&lt;String!$E$53,String!$E$53,IF(O20&gt;String!$E$89,String!$E$89,O20)),IF(F6="BW",IF(O20&lt;String!$K$53,String!$K$53,IF(O20&gt;String!$K$85,String!$K$85,O20)),IF(O20&lt;String!$H$53,String!$H$53,IF(O20&gt;String!$H$93,String!$H$93,O20))))</f>
        <v>4.5575189968446496E-4</v>
      </c>
      <c r="Q20" s="50">
        <f>IF(F6="NW",SMALL(String!$E$53:$E$89,COUNTIF(String!$E$53:$E$89,"&lt;"&amp;P20)+1),IF(F6="BW",SMALL(String!$K$53:$K$85,COUNTIF(String!$K$53:$K$85,"&lt;"&amp;P20)+1),SMALL(String!$H$53:$H$93,COUNTIF(String!$H$53:$H$93,"&lt;"&amp;P20)+1)))</f>
        <v>4.6727999999999998E-4</v>
      </c>
      <c r="R20" s="50">
        <f>IF(F6="NW",LARGE(String!$E$53:$E$89,COUNTIF(String!$E$53:$E$89,"&gt;"&amp;P20)+1),IF(F6="BW",LARGE(String!$K$53:$K$85,COUNTIF(String!$K$53:$K$85,"&gt;"&amp;P20)+1),LARGE(String!$H$53:$H$93,COUNTIF(String!$H$53:$H$93,"&gt;"&amp;P20)+1)))</f>
        <v>4.5289000000000001E-4</v>
      </c>
      <c r="S20" s="68">
        <f t="shared" si="6"/>
        <v>4.5289000000000001E-4</v>
      </c>
      <c r="T20" s="33"/>
    </row>
    <row r="21" spans="5:22" x14ac:dyDescent="0.2">
      <c r="E21" s="33"/>
      <c r="F21" s="34" t="s">
        <v>148</v>
      </c>
      <c r="G21" s="73" t="s">
        <v>51</v>
      </c>
      <c r="H21" s="44" t="str">
        <f>IF(F6="NW", VLOOKUP(S21,String!$E$53:$F$89, 2, TRUE), IF(F6="PB", VLOOKUP(S21,String!$H$53:$I$93, 2, TRUE), IF(F6="BW", VLOOKUP(S21,String!$K$53:$L$85, 2, TRUE))))</f>
        <v>PB024</v>
      </c>
      <c r="I21" s="74">
        <v>25.5</v>
      </c>
      <c r="J21" s="45">
        <f>VLOOKUP(G21, Pitch!$A$4:$B$52, 2, FALSE)</f>
        <v>164.81377845643513</v>
      </c>
      <c r="K21" s="46">
        <f t="shared" si="0"/>
        <v>21.360305918066249</v>
      </c>
      <c r="L21" s="48">
        <f>K20+K21</f>
        <v>42.062816077356203</v>
      </c>
      <c r="M21" s="47">
        <f>SUM(SUM(M6-VLOOKUP(G21,Pitch!$F$58:$G$106,2,FALSE)))/SUM(VLOOKUP(VLOOKUP(MAX(J10:J21),Pitch!$A$58:$B$106,2,FALSE),Pitch!$F$58:$G$106,2,FALSE)-VLOOKUP(VLOOKUP(MIN(J10:J21),Pitch!$A$58:$B$106,2,FALSE),Pitch!$F$58:$G$106,2,FALSE))*M5</f>
        <v>0</v>
      </c>
      <c r="N21" s="48">
        <f>(K6/12)*(1+M21)</f>
        <v>20.833333333333332</v>
      </c>
      <c r="O21" s="68">
        <f t="shared" si="1"/>
        <v>1.139379749211161E-4</v>
      </c>
      <c r="P21" s="68">
        <f>IF(F6="NW",IF(O21&lt;String!$E$53,String!$E$53,IF(O21&gt;String!$E$89,String!$E$89,O21)),IF(F6="BW",IF(O21&lt;String!$K$53,String!$K$53,IF(O21&gt;String!$K$85,String!$K$85,O21)),IF(O21&lt;String!$H$53,String!$H$53,IF(O21&gt;String!$H$93,String!$H$93,O21))))</f>
        <v>1.139379749211161E-4</v>
      </c>
      <c r="Q21" s="50">
        <f>IF(F6="NW",SMALL(String!$E$53:$E$89,COUNTIF(String!$E$53:$E$89,"&lt;"&amp;P21)+1),IF(F6="BW",SMALL(String!$K$53:$K$85,COUNTIF(String!$K$53:$K$85,"&lt;"&amp;P21)+1),SMALL(String!$H$53:$H$93,COUNTIF(String!$H$53:$H$93,"&lt;"&amp;P21)+1)))</f>
        <v>1.1682E-4</v>
      </c>
      <c r="R21" s="50">
        <f>IF(F6="NW",LARGE(String!$E$53:$E$89,COUNTIF(String!$E$53:$E$89,"&gt;"&amp;P21)+1),IF(F6="BW",LARGE(String!$K$53:$K$85,COUNTIF(String!$K$53:$K$85,"&gt;"&amp;P21)+1),LARGE(String!$H$53:$H$93,COUNTIF(String!$H$53:$H$93,"&gt;"&amp;P21)+1)))</f>
        <v>1.0801E-4</v>
      </c>
      <c r="S21" s="68">
        <f t="shared" si="6"/>
        <v>1.1682E-4</v>
      </c>
      <c r="T21" s="33"/>
    </row>
    <row r="22" spans="5:22" x14ac:dyDescent="0.2">
      <c r="E22" s="33"/>
      <c r="F22" s="34"/>
      <c r="G22" s="51"/>
      <c r="H22" s="52"/>
      <c r="I22" s="46"/>
      <c r="J22" s="33"/>
      <c r="K22" s="46"/>
      <c r="L22" s="33"/>
      <c r="M22" s="52"/>
      <c r="N22" s="52"/>
      <c r="O22" s="49"/>
      <c r="P22" s="33"/>
      <c r="Q22" s="49"/>
      <c r="R22" s="49"/>
      <c r="S22" s="49"/>
      <c r="T22" s="49"/>
    </row>
    <row r="23" spans="5:22" x14ac:dyDescent="0.2">
      <c r="E23" s="33"/>
      <c r="F23" s="33"/>
      <c r="G23" s="33"/>
      <c r="H23" s="33"/>
      <c r="I23" s="33"/>
      <c r="J23" s="33"/>
      <c r="K23" s="54">
        <f>SUM(K10:K21)</f>
        <v>252.2560760423452</v>
      </c>
      <c r="L23" s="56" t="s">
        <v>360</v>
      </c>
      <c r="M23" s="33"/>
      <c r="N23" s="33"/>
      <c r="O23" s="33"/>
      <c r="P23" s="33"/>
      <c r="Q23" s="33"/>
      <c r="R23" s="33"/>
      <c r="S23" s="33"/>
      <c r="T23" s="33"/>
      <c r="U23" s="28"/>
      <c r="V23" s="29"/>
    </row>
    <row r="24" spans="5:22" x14ac:dyDescent="0.2">
      <c r="E24" s="33"/>
      <c r="F24" s="33"/>
      <c r="G24" s="33"/>
      <c r="H24" s="33"/>
      <c r="I24" s="33"/>
      <c r="J24" s="33"/>
      <c r="K24" s="55">
        <f>K23/12</f>
        <v>21.021339670195434</v>
      </c>
      <c r="L24" s="33" t="s">
        <v>361</v>
      </c>
      <c r="M24" s="33"/>
      <c r="N24" s="33"/>
      <c r="O24" s="33"/>
      <c r="P24" s="33"/>
      <c r="Q24" s="33"/>
      <c r="R24" s="33"/>
      <c r="S24" s="33"/>
      <c r="T24" s="33"/>
    </row>
    <row r="25" spans="5:22" x14ac:dyDescent="0.2">
      <c r="E25" s="33"/>
      <c r="F25" s="33"/>
      <c r="G25" s="33"/>
      <c r="H25" s="33"/>
      <c r="I25" s="33"/>
      <c r="J25" s="33"/>
      <c r="K25" s="48">
        <f>MAX(K10:K21)-MIN(K10:K21)</f>
        <v>1.2758355662242593</v>
      </c>
      <c r="L25" s="33" t="s">
        <v>359</v>
      </c>
      <c r="M25" s="33"/>
      <c r="N25" s="48">
        <f>MAX(N10:N21)-MIN(N10:N21)</f>
        <v>0</v>
      </c>
      <c r="O25" s="56" t="s">
        <v>362</v>
      </c>
      <c r="P25" s="33"/>
      <c r="Q25" s="33"/>
      <c r="R25" s="33"/>
      <c r="S25" s="33"/>
      <c r="T25" s="33"/>
    </row>
    <row r="26" spans="5:22" x14ac:dyDescent="0.2">
      <c r="O26" s="30"/>
    </row>
    <row r="27" spans="5:22" x14ac:dyDescent="0.2">
      <c r="O27" s="30"/>
    </row>
    <row r="29" spans="5:22" ht="15.75" x14ac:dyDescent="0.25">
      <c r="E29" s="91" t="s">
        <v>240</v>
      </c>
      <c r="F29" s="91"/>
      <c r="G29" s="91"/>
      <c r="H29" s="91"/>
      <c r="I29" s="91"/>
      <c r="J29" s="91"/>
      <c r="K29" s="91"/>
      <c r="L29" s="91"/>
      <c r="M29" s="24"/>
      <c r="N29" s="91" t="s">
        <v>316</v>
      </c>
      <c r="O29" s="91"/>
      <c r="P29" s="91"/>
      <c r="Q29" s="91"/>
      <c r="R29" s="91"/>
      <c r="S29" s="91"/>
      <c r="T29" s="91"/>
    </row>
    <row r="30" spans="5:22" ht="15.75" x14ac:dyDescent="0.25">
      <c r="E30" s="92" t="s">
        <v>311</v>
      </c>
      <c r="F30" s="92"/>
      <c r="G30" s="92"/>
      <c r="H30" s="57"/>
      <c r="I30" s="57"/>
      <c r="J30" s="57"/>
      <c r="K30" s="57"/>
      <c r="L30" s="57"/>
      <c r="M30" s="25"/>
      <c r="N30" s="34" t="s">
        <v>311</v>
      </c>
      <c r="O30" s="92" t="s">
        <v>338</v>
      </c>
      <c r="P30" s="92"/>
      <c r="Q30" s="92"/>
      <c r="R30" s="57"/>
      <c r="S30" s="57"/>
      <c r="T30" s="57"/>
    </row>
    <row r="31" spans="5:22" x14ac:dyDescent="0.2">
      <c r="E31" s="33"/>
      <c r="F31" s="70" t="s">
        <v>356</v>
      </c>
      <c r="G31" s="33"/>
      <c r="H31" s="33"/>
      <c r="I31" s="33"/>
      <c r="J31" s="33"/>
      <c r="K31" s="33"/>
      <c r="L31" s="33"/>
      <c r="N31" s="70" t="s">
        <v>356</v>
      </c>
      <c r="O31" s="93" t="s">
        <v>326</v>
      </c>
      <c r="P31" s="93"/>
      <c r="Q31" s="93"/>
      <c r="R31" s="33"/>
      <c r="S31" s="33"/>
      <c r="T31" s="33"/>
    </row>
    <row r="32" spans="5:22" x14ac:dyDescent="0.2">
      <c r="E32" s="33"/>
      <c r="F32" s="33"/>
      <c r="G32" s="89" t="s">
        <v>3</v>
      </c>
      <c r="H32" s="89" t="s">
        <v>149</v>
      </c>
      <c r="I32" s="34" t="s">
        <v>357</v>
      </c>
      <c r="J32" s="53" t="s">
        <v>1</v>
      </c>
      <c r="K32" s="53" t="s">
        <v>2</v>
      </c>
      <c r="L32" s="53" t="s">
        <v>358</v>
      </c>
      <c r="N32" s="33"/>
      <c r="O32" s="89" t="s">
        <v>3</v>
      </c>
      <c r="P32" s="89" t="s">
        <v>149</v>
      </c>
      <c r="Q32" s="34" t="s">
        <v>357</v>
      </c>
      <c r="R32" s="53" t="s">
        <v>1</v>
      </c>
      <c r="S32" s="53" t="s">
        <v>2</v>
      </c>
      <c r="T32" s="53" t="s">
        <v>358</v>
      </c>
    </row>
    <row r="33" spans="5:24" x14ac:dyDescent="0.2">
      <c r="E33" s="33"/>
      <c r="F33" s="43" t="s">
        <v>137</v>
      </c>
      <c r="G33" s="73" t="s">
        <v>63</v>
      </c>
      <c r="H33" s="73" t="s">
        <v>33</v>
      </c>
      <c r="I33" s="74">
        <v>25.5</v>
      </c>
      <c r="J33" s="45">
        <f>VLOOKUP(G33, Pitch!$A$4:$B$52, 2, FALSE)</f>
        <v>329.62755691287043</v>
      </c>
      <c r="K33" s="59">
        <f>VLOOKUP(H33,String!$A$8:$B$33, 2, FALSE)*(2*I33*J33)^2/386.4</f>
        <v>21.429788166387315</v>
      </c>
      <c r="L33" s="33"/>
      <c r="N33" s="43" t="s">
        <v>137</v>
      </c>
      <c r="O33" s="73" t="s">
        <v>63</v>
      </c>
      <c r="P33" s="44" t="str">
        <f>IF(LEFT((O31),7)="EJ36 10",String!$L$117,IF(LEFT((O31),7)="EXL150 ",String!$P$134,IF(LEFT((O31),7)="EJ41 9-",String!$P$101,IF(LEFT((O31),7)="EJ38 10",String!$R$101,IF(LEFT((O31),7)="EJ39 12",String!$T$101,String!$V$101)))))</f>
        <v>PL010</v>
      </c>
      <c r="Q33" s="74">
        <v>25.5</v>
      </c>
      <c r="R33" s="45">
        <f>VLOOKUP(O33, Pitch!$A$4:$B$52, 2, FALSE)</f>
        <v>329.62755691287043</v>
      </c>
      <c r="S33" s="60">
        <f>IF(LEFT(P33,2)="PL",VLOOKUP(P33,String!$A$8:$B$33,2,FALSE),IF(LEFT(P33,2)="PB",VLOOKUP(P33,String!$G$8:$H$48,2,FALSE),IF(LEFT(P33,2)="BW",VLOOKUP(P33,String!$J$8:$K$40,2,FALSE),VLOOKUP(P33,String!$D$8:$E$44,2,FALSE))))*(2*Q33*R33)^2/386.4</f>
        <v>16.200334740118738</v>
      </c>
      <c r="T33" s="33"/>
      <c r="X33" s="31"/>
    </row>
    <row r="34" spans="5:24" x14ac:dyDescent="0.2">
      <c r="E34" s="33"/>
      <c r="F34" s="34" t="s">
        <v>138</v>
      </c>
      <c r="G34" s="73" t="s">
        <v>63</v>
      </c>
      <c r="H34" s="73" t="s">
        <v>33</v>
      </c>
      <c r="I34" s="74">
        <v>25.5</v>
      </c>
      <c r="J34" s="45">
        <f>VLOOKUP(G34, Pitch!$A$4:$B$52, 2, FALSE)</f>
        <v>329.62755691287043</v>
      </c>
      <c r="K34" s="59">
        <f>VLOOKUP(H34,String!$A$8:$B$33, 2, FALSE)*(2*I34*J34)^2/386.4</f>
        <v>21.429788166387315</v>
      </c>
      <c r="L34" s="48">
        <f>K33+K34</f>
        <v>42.85957633277463</v>
      </c>
      <c r="N34" s="34" t="s">
        <v>138</v>
      </c>
      <c r="O34" s="73" t="s">
        <v>63</v>
      </c>
      <c r="P34" s="44" t="str">
        <f>IF(LEFT((O31),7)="EJ36 10",String!$L$118,IF(LEFT((O31),7)="EXL150 ",String!$P$135,IF(LEFT((O31),7)="EJ41 9-",String!$P$102,IF(LEFT((O31),7)="EJ38 10",String!$R$102,IF(LEFT((O31),7)="EJ39 12",String!$T$102,String!$V$102)))))</f>
        <v>PL010</v>
      </c>
      <c r="Q34" s="74">
        <v>25.5</v>
      </c>
      <c r="R34" s="45">
        <f>VLOOKUP(O34, Pitch!$A$4:$B$52, 2, FALSE)</f>
        <v>329.62755691287043</v>
      </c>
      <c r="S34" s="60">
        <f>IF(LEFT(P34,2)="PL",VLOOKUP(P34,String!$A$8:$B$33,2,FALSE),IF(LEFT(P34,2)="PB",VLOOKUP(P34,String!$G$8:$H$48,2,FALSE),IF(LEFT(P34,2)="BW",VLOOKUP(P34,String!$J$8:$K$40,2,FALSE),VLOOKUP(P34,String!$D$8:$E$44,2,FALSE))))*(2*Q34*R34)^2/386.4</f>
        <v>16.200334740118738</v>
      </c>
      <c r="T34" s="48">
        <f>S33+S34</f>
        <v>32.400669480237475</v>
      </c>
    </row>
    <row r="35" spans="5:24" x14ac:dyDescent="0.2">
      <c r="E35" s="33"/>
      <c r="F35" s="34" t="s">
        <v>144</v>
      </c>
      <c r="G35" s="73" t="s">
        <v>58</v>
      </c>
      <c r="H35" s="73" t="s">
        <v>69</v>
      </c>
      <c r="I35" s="74">
        <v>25.5</v>
      </c>
      <c r="J35" s="45">
        <f>VLOOKUP(G35, Pitch!$A$4:$B$52, 2, FALSE)</f>
        <v>246.94165062806238</v>
      </c>
      <c r="K35" s="59">
        <f>VLOOKUP(H35,String!$A$8:$B$33, 2, FALSE)*(2*I35*J35)^2/386.4</f>
        <v>20.458319729978506</v>
      </c>
      <c r="L35" s="33"/>
      <c r="N35" s="34" t="s">
        <v>144</v>
      </c>
      <c r="O35" s="73" t="s">
        <v>58</v>
      </c>
      <c r="P35" s="44" t="str">
        <f>IF(LEFT((O31),7)="EJ36 10",String!$L$119,IF(LEFT((O31),7)="EXL150 ",String!$P$136,IF(LEFT((O31),7)="EJ41 9-",String!$P$103,IF(LEFT((O31),7)="EJ38 10",String!$R$103,IF(LEFT((O31),7)="EJ39 12",String!$T$103,String!$V$103)))))</f>
        <v>PL014</v>
      </c>
      <c r="Q35" s="74">
        <v>25.5</v>
      </c>
      <c r="R35" s="45">
        <f>VLOOKUP(O35, Pitch!$A$4:$B$52, 2, FALSE)</f>
        <v>246.94165062806238</v>
      </c>
      <c r="S35" s="60">
        <f>IF(LEFT(P35,2)="PL",VLOOKUP(P35,String!$A$8:$B$33,2,FALSE),IF(LEFT(P35,2)="PB",VLOOKUP(P35,String!$G$8:$H$48,2,FALSE),IF(LEFT(P35,2)="BW",VLOOKUP(P35,String!$J$8:$K$40,2,FALSE),VLOOKUP(P35,String!$D$8:$E$44,2,FALSE))))*(2*Q35*R35)^2/386.4</f>
        <v>17.823038576959608</v>
      </c>
      <c r="T35" s="33"/>
    </row>
    <row r="36" spans="5:24" x14ac:dyDescent="0.2">
      <c r="E36" s="33"/>
      <c r="F36" s="34" t="s">
        <v>143</v>
      </c>
      <c r="G36" s="73" t="s">
        <v>58</v>
      </c>
      <c r="H36" s="73" t="s">
        <v>69</v>
      </c>
      <c r="I36" s="74">
        <v>25.5</v>
      </c>
      <c r="J36" s="45">
        <f>VLOOKUP(G36, Pitch!$A$4:$B$52, 2, FALSE)</f>
        <v>246.94165062806238</v>
      </c>
      <c r="K36" s="59">
        <f>VLOOKUP(H36,String!$A$8:$B$33, 2, FALSE)*(2*I36*J36)^2/386.4</f>
        <v>20.458319729978506</v>
      </c>
      <c r="L36" s="48">
        <f>K35+K36</f>
        <v>40.916639459957011</v>
      </c>
      <c r="N36" s="34" t="s">
        <v>143</v>
      </c>
      <c r="O36" s="73" t="s">
        <v>58</v>
      </c>
      <c r="P36" s="44" t="str">
        <f>IF(LEFT((O31),7)="EJ36 10",String!$L$120,IF(LEFT((O31),7)="EXL150 ",String!$P$137,IF(LEFT((O31),7)="EJ41 9-",String!$P$104,IF(LEFT((O31),7)="EJ38 10",String!$R$104,IF(LEFT((O31),7)="EJ39 12",String!$T$104,String!$V$104)))))</f>
        <v>PL014</v>
      </c>
      <c r="Q36" s="74">
        <v>25.5</v>
      </c>
      <c r="R36" s="45">
        <f>VLOOKUP(O36, Pitch!$A$4:$B$52, 2, FALSE)</f>
        <v>246.94165062806238</v>
      </c>
      <c r="S36" s="60">
        <f>IF(LEFT(P36,2)="PL",VLOOKUP(P36,String!$A$8:$B$33,2,FALSE),IF(LEFT(P36,2)="PB",VLOOKUP(P36,String!$G$8:$H$48,2,FALSE),IF(LEFT(P36,2)="BW",VLOOKUP(P36,String!$J$8:$K$40,2,FALSE),VLOOKUP(P36,String!$D$8:$E$44,2,FALSE))))*(2*Q36*R36)^2/386.4</f>
        <v>17.823038576959608</v>
      </c>
      <c r="T36" s="48">
        <f>S35+S36</f>
        <v>35.646077153919215</v>
      </c>
    </row>
    <row r="37" spans="5:24" x14ac:dyDescent="0.2">
      <c r="E37" s="70" t="s">
        <v>315</v>
      </c>
      <c r="F37" s="34" t="s">
        <v>142</v>
      </c>
      <c r="G37" s="73" t="s">
        <v>54</v>
      </c>
      <c r="H37" s="73" t="s">
        <v>6</v>
      </c>
      <c r="I37" s="74">
        <v>25.5</v>
      </c>
      <c r="J37" s="45">
        <f>VLOOKUP(G37, Pitch!$A$4:$B$52, 2, FALSE)</f>
        <v>195.99771799087486</v>
      </c>
      <c r="K37" s="58">
        <f>IFERROR(IF(E37="Plain",VLOOKUP(H37,String!$A$8:$B$33,2,FALSE),IF(F31="PB",VLOOKUP(H37,String!$G$8:$H$48,2,FALSE),IF(F31="BW",VLOOKUP(H37,String!$J$8:$K$40,2,FALSE),VLOOKUP(H37,String!$D$8:$E$44,2,FALSE))))*(2*I37*J37)^2/386.4,"Select String")</f>
        <v>20.96099351520904</v>
      </c>
      <c r="L37" s="33"/>
      <c r="N37" s="34" t="s">
        <v>142</v>
      </c>
      <c r="O37" s="73" t="s">
        <v>54</v>
      </c>
      <c r="P37" s="44" t="str">
        <f>IF(LEFT((O31),7)="EJ36 10",String!$L$121,IF(LEFT((O31),7)="EXL150 ",String!$P$138,IF(LEFT((O31),7)="EJ41 9-",String!$P$105,IF(LEFT((O31),7)="EJ38 10",String!$R$105,IF(LEFT((O31),7)="EJ39 12",String!$T$105,String!$V$105)))))</f>
        <v>PB023</v>
      </c>
      <c r="Q37" s="74">
        <v>25.5</v>
      </c>
      <c r="R37" s="45">
        <f>VLOOKUP(O37, Pitch!$A$4:$B$52, 2, FALSE)</f>
        <v>195.99771799087486</v>
      </c>
      <c r="S37" s="60">
        <f>IF(LEFT(P37,2)="PL",VLOOKUP(P37,String!$A$8:$B$33,2,FALSE),IF(LEFT(P37,2)="PB",VLOOKUP(P37,String!$G$8:$H$48,2,FALSE),IF(LEFT(P37,2)="BW",VLOOKUP(P37,String!$J$8:$K$40,2,FALSE),VLOOKUP(P37,String!$D$8:$E$44,2,FALSE))))*(2*Q37*R37)^2/386.4</f>
        <v>27.929890322942619</v>
      </c>
      <c r="T37" s="33"/>
    </row>
    <row r="38" spans="5:24" x14ac:dyDescent="0.2">
      <c r="E38" s="33"/>
      <c r="F38" s="34" t="s">
        <v>141</v>
      </c>
      <c r="G38" s="73" t="s">
        <v>66</v>
      </c>
      <c r="H38" s="73" t="s">
        <v>29</v>
      </c>
      <c r="I38" s="74">
        <v>25.5</v>
      </c>
      <c r="J38" s="45">
        <f>VLOOKUP(G38, Pitch!$A$4:$B$52, 2, FALSE)</f>
        <v>391.99543598174995</v>
      </c>
      <c r="K38" s="59">
        <f>VLOOKUP(H38,String!$A$8:$B$33, 2, FALSE)*(2*I38*J38)^2/386.4</f>
        <v>20.67654874754647</v>
      </c>
      <c r="L38" s="61">
        <f>IFERROR((K37+K38),"Select String")</f>
        <v>41.63754226275551</v>
      </c>
      <c r="N38" s="34" t="s">
        <v>141</v>
      </c>
      <c r="O38" s="73" t="s">
        <v>66</v>
      </c>
      <c r="P38" s="44" t="str">
        <f>IF(LEFT((O31),7)="EJ36 10",String!$L$122,IF(LEFT((O31),7)="EXL150 ",String!$P$139,IF(LEFT((O31),7)="EJ41 9-",String!$P$106,IF(LEFT((O31),7)="EJ38 10",String!$R$106,IF(LEFT((O31),7)="EJ39 12",String!$T$106,String!$V$106)))))</f>
        <v>PL008</v>
      </c>
      <c r="Q38" s="74">
        <v>25.5</v>
      </c>
      <c r="R38" s="45">
        <f>VLOOKUP(O38, Pitch!$A$4:$B$52, 2, FALSE)</f>
        <v>391.99543598174995</v>
      </c>
      <c r="S38" s="60">
        <f>IF(LEFT(P38,2)="PL",VLOOKUP(P38,String!$A$8:$B$33,2,FALSE),IF(LEFT(P38,2)="PB",VLOOKUP(P38,String!$G$8:$H$48,2,FALSE),IF(LEFT(P38,2)="BW",VLOOKUP(P38,String!$J$8:$K$40,2,FALSE),VLOOKUP(P38,String!$D$8:$E$44,2,FALSE))))*(2*Q38*R38)^2/386.4</f>
        <v>14.667006565293093</v>
      </c>
      <c r="T38" s="48">
        <f>S37+S38</f>
        <v>42.596896888235712</v>
      </c>
    </row>
    <row r="39" spans="5:24" x14ac:dyDescent="0.2">
      <c r="E39" s="33"/>
      <c r="F39" s="34" t="s">
        <v>140</v>
      </c>
      <c r="G39" s="73" t="s">
        <v>49</v>
      </c>
      <c r="H39" s="73" t="s">
        <v>102</v>
      </c>
      <c r="I39" s="74">
        <v>25.5</v>
      </c>
      <c r="J39" s="45">
        <f>VLOOKUP(G39, Pitch!$A$4:$B$52, 2, FALSE)</f>
        <v>146.8323839587039</v>
      </c>
      <c r="K39" s="59">
        <f>IFERROR(IF(F31="PB",VLOOKUP(H39,String!$G$8:$H$48,2,FALSE),IF(F31="BW",VLOOKUP(H39,String!$J$8:$K$40,2,FALSE),VLOOKUP(H39,String!$D$8:$E$44,2,FALSE)))*(2*I39*J39)^2/386.4,"Select String")</f>
        <v>21.528075565162357</v>
      </c>
      <c r="L39" s="33"/>
      <c r="N39" s="34" t="s">
        <v>140</v>
      </c>
      <c r="O39" s="73" t="s">
        <v>49</v>
      </c>
      <c r="P39" s="44" t="str">
        <f>IF(LEFT((O31),7)="EJ36 10",String!$L$123,IF(LEFT((O31),7)="EXL150 ",String!$P$140,IF(LEFT((O31),7)="EJ41 9-",String!$P$107,IF(LEFT((O31),7)="EJ38 10",String!$R$107,IF(LEFT((O31),7)="EJ39 12",String!$T$107,String!$V$107)))))</f>
        <v>PB030</v>
      </c>
      <c r="Q39" s="74">
        <v>25.5</v>
      </c>
      <c r="R39" s="45">
        <f>VLOOKUP(O39, Pitch!$A$4:$B$52, 2, FALSE)</f>
        <v>146.8323839587039</v>
      </c>
      <c r="S39" s="60">
        <f>IF(LEFT(P39,2)="PL",VLOOKUP(P39,String!$A$8:$B$33,2,FALSE),IF(LEFT(P39,2)="PB",VLOOKUP(P39,String!$G$8:$H$48,2,FALSE),IF(LEFT(P39,2)="BW",VLOOKUP(P39,String!$J$8:$K$40,2,FALSE),VLOOKUP(P39,String!$D$8:$E$44,2,FALSE))))*(2*Q39*R39)^2/386.4</f>
        <v>27.080618177560304</v>
      </c>
      <c r="T39" s="33"/>
    </row>
    <row r="40" spans="5:24" x14ac:dyDescent="0.2">
      <c r="E40" s="33"/>
      <c r="F40" s="34" t="s">
        <v>139</v>
      </c>
      <c r="G40" s="73" t="s">
        <v>61</v>
      </c>
      <c r="H40" s="73" t="s">
        <v>12</v>
      </c>
      <c r="I40" s="74">
        <v>25.5</v>
      </c>
      <c r="J40" s="45">
        <f>VLOOKUP(G40, Pitch!$A$4:$B$52, 2, FALSE)</f>
        <v>293.66476791740797</v>
      </c>
      <c r="K40" s="59">
        <f>VLOOKUP(H40,String!$A$8:$B$33, 2, FALSE)*(2*I40*J40)^2/386.4</f>
        <v>21.734155296202765</v>
      </c>
      <c r="L40" s="61">
        <f>IFERROR((K39+K40),"Select String")</f>
        <v>43.262230861365126</v>
      </c>
      <c r="N40" s="34" t="s">
        <v>139</v>
      </c>
      <c r="O40" s="73" t="s">
        <v>61</v>
      </c>
      <c r="P40" s="44" t="str">
        <f>IF(LEFT((O31),7)="EJ36 10",String!$L$124,IF(LEFT((O31),7)="EXL150 ",String!$P$141,IF(LEFT((O31),7)="EJ41 9-",String!$P$108,IF(LEFT((O31),7)="EJ38 10",String!$R$108,IF(LEFT((O31),7)="EJ39 12",String!$T$108,String!$V$108)))))</f>
        <v>PL012</v>
      </c>
      <c r="Q40" s="74">
        <v>25.5</v>
      </c>
      <c r="R40" s="45">
        <f>VLOOKUP(O40, Pitch!$A$4:$B$52, 2, FALSE)</f>
        <v>293.66476791740797</v>
      </c>
      <c r="S40" s="60">
        <f>IF(LEFT(P40,2)="PL",VLOOKUP(P40,String!$A$8:$B$33,2,FALSE),IF(LEFT(P40,2)="PB",VLOOKUP(P40,String!$G$8:$H$48,2,FALSE),IF(LEFT(P40,2)="BW",VLOOKUP(P40,String!$J$8:$K$40,2,FALSE),VLOOKUP(P40,String!$D$8:$E$44,2,FALSE))))*(2*Q40*R40)^2/386.4</f>
        <v>18.518150479403531</v>
      </c>
      <c r="T40" s="48">
        <f>S39+S40</f>
        <v>45.598768656963834</v>
      </c>
    </row>
    <row r="41" spans="5:24" x14ac:dyDescent="0.2">
      <c r="E41" s="33"/>
      <c r="F41" s="34" t="s">
        <v>145</v>
      </c>
      <c r="G41" s="73" t="s">
        <v>44</v>
      </c>
      <c r="H41" s="73" t="s">
        <v>106</v>
      </c>
      <c r="I41" s="74">
        <v>25.5</v>
      </c>
      <c r="J41" s="45">
        <f>VLOOKUP(G41, Pitch!$A$4:$B$52, 2, FALSE)</f>
        <v>110.00000000000006</v>
      </c>
      <c r="K41" s="59">
        <f>IFERROR(IF(F31="PB",VLOOKUP(H41,String!$G$8:$H$48,2,FALSE),IF(F31="BW",VLOOKUP(H41,String!$J$8:$K$40,2,FALSE),VLOOKUP(H41,String!$D$8:$E$44,2,FALSE)))*(2*I41*J41)^2/386.4,"Select String")</f>
        <v>20.659674340062132</v>
      </c>
      <c r="L41" s="33"/>
      <c r="N41" s="34" t="s">
        <v>145</v>
      </c>
      <c r="O41" s="73" t="s">
        <v>44</v>
      </c>
      <c r="P41" s="44" t="str">
        <f>IF(LEFT((O31),7)="EJ36 10",String!$L$125,IF(LEFT((O31),7)="EXL150 ",String!$P$142,IF(LEFT((O31),7)="EJ41 9-",String!$P$109,IF(LEFT((O31),7)="EJ38 10",String!$R$109,IF(LEFT((O31),7)="EJ39 12",String!$T$109,String!$V$109)))))</f>
        <v>PB039</v>
      </c>
      <c r="Q41" s="74">
        <v>25.5</v>
      </c>
      <c r="R41" s="45">
        <f>VLOOKUP(O41, Pitch!$A$4:$B$52, 2, FALSE)</f>
        <v>110.00000000000006</v>
      </c>
      <c r="S41" s="60">
        <f>IF(LEFT(P41,2)="PL",VLOOKUP(P41,String!$A$8:$B$33,2,FALSE),IF(LEFT(P41,2)="PB",VLOOKUP(P41,String!$G$8:$H$48,2,FALSE),IF(LEFT(P41,2)="BW",VLOOKUP(P41,String!$J$8:$K$40,2,FALSE),VLOOKUP(P41,String!$D$8:$E$44,2,FALSE))))*(2*Q41*R41)^2/386.4</f>
        <v>25.351167507764</v>
      </c>
      <c r="T41" s="33"/>
    </row>
    <row r="42" spans="5:24" x14ac:dyDescent="0.2">
      <c r="E42" s="70" t="s">
        <v>154</v>
      </c>
      <c r="F42" s="34" t="s">
        <v>146</v>
      </c>
      <c r="G42" s="73" t="s">
        <v>56</v>
      </c>
      <c r="H42" s="73" t="s">
        <v>13</v>
      </c>
      <c r="I42" s="74">
        <v>25.5</v>
      </c>
      <c r="J42" s="45">
        <f>VLOOKUP(G42, Pitch!$A$4:$B$52, 2, FALSE)</f>
        <v>220.00000000000026</v>
      </c>
      <c r="K42" s="58">
        <f>IFERROR(IF(E42="Plain",VLOOKUP(H42,String!$A$8:$B$33,2,FALSE),IF(F31="PB",VLOOKUP(H42,String!$G$8:$H$48,2,FALSE),IF(F31="BW",VLOOKUP(H42,String!$J$8:$K$40,2,FALSE),VLOOKUP(H42,String!$D$8:$E$44,2,FALSE))))*(2*I42*J42)^2/386.4,"Select String")</f>
        <v>20.857596708074581</v>
      </c>
      <c r="L42" s="61">
        <f>IFERROR((K41+K42),"Select String")</f>
        <v>41.517271048136713</v>
      </c>
      <c r="N42" s="34" t="s">
        <v>146</v>
      </c>
      <c r="O42" s="73" t="s">
        <v>56</v>
      </c>
      <c r="P42" s="44" t="str">
        <f>IF(LEFT((O31),7)="EJ36 10",String!$L$126,IF(LEFT((O31),7)="EXL150 ",String!$P$143,IF(LEFT((O31),7)="EJ41 9-",String!$P$110,IF(LEFT((O31),7)="EJ38 10",String!$R$110,IF(LEFT((O31),7)="EJ39 12",String!$T$110,String!$V$110)))))</f>
        <v>PL018</v>
      </c>
      <c r="Q42" s="74">
        <v>25.5</v>
      </c>
      <c r="R42" s="45">
        <f>VLOOKUP(O42, Pitch!$A$4:$B$52, 2, FALSE)</f>
        <v>220.00000000000026</v>
      </c>
      <c r="S42" s="60">
        <f>IF(LEFT(P42,2)="PL",VLOOKUP(P42,String!$A$8:$B$33,2,FALSE),IF(LEFT(P42,2)="PB",VLOOKUP(P42,String!$G$8:$H$48,2,FALSE),IF(LEFT(P42,2)="BW",VLOOKUP(P42,String!$J$8:$K$40,2,FALSE),VLOOKUP(P42,String!$D$8:$E$44,2,FALSE))))*(2*Q42*R42)^2/386.4</f>
        <v>23.187053385093222</v>
      </c>
      <c r="T42" s="48">
        <f>S41+S42</f>
        <v>48.538220892857225</v>
      </c>
    </row>
    <row r="43" spans="5:24" x14ac:dyDescent="0.2">
      <c r="E43" s="33"/>
      <c r="F43" s="34" t="s">
        <v>147</v>
      </c>
      <c r="G43" s="73" t="s">
        <v>39</v>
      </c>
      <c r="H43" s="73" t="s">
        <v>111</v>
      </c>
      <c r="I43" s="74">
        <v>25.5</v>
      </c>
      <c r="J43" s="45">
        <f>VLOOKUP(G43, Pitch!$A$4:$B$52, 2, FALSE)</f>
        <v>82.406889228217523</v>
      </c>
      <c r="K43" s="59">
        <f>IFERROR(IF(F31="PB",VLOOKUP(H43,String!$G$8:$H$48,2,FALSE),IF(F31="BW",VLOOKUP(H43,String!$J$8:$K$40,2,FALSE),VLOOKUP(H43,String!$D$8:$E$44,2,FALSE)))*(2*I43*J43)^2/386.4,"Select String")</f>
        <v>20.702510159289957</v>
      </c>
      <c r="L43" s="33"/>
      <c r="N43" s="34" t="s">
        <v>147</v>
      </c>
      <c r="O43" s="73" t="s">
        <v>39</v>
      </c>
      <c r="P43" s="44" t="str">
        <f>IF(LEFT((O31),7)="EJ36 10",String!$L$127,IF(LEFT((O31),7)="EXL150 ",String!$P$144,IF(LEFT((O31),7)="EJ41 9-",String!$P$111,IF(LEFT((O31),7)="EJ38 10",String!$R$111,IF(LEFT((O31),7)="EJ39 12",String!$T$111,String!$V$111)))))</f>
        <v>PB047</v>
      </c>
      <c r="Q43" s="74">
        <v>25.5</v>
      </c>
      <c r="R43" s="45">
        <f>VLOOKUP(O43, Pitch!$A$4:$B$52, 2, FALSE)</f>
        <v>82.406889228217523</v>
      </c>
      <c r="S43" s="60">
        <f>IF(LEFT(P43,2)="PL",VLOOKUP(P43,String!$A$8:$B$33,2,FALSE),IF(LEFT(P43,2)="PB",VLOOKUP(P43,String!$G$8:$H$48,2,FALSE),IF(LEFT(P43,2)="BW",VLOOKUP(P43,String!$J$8:$K$40,2,FALSE),VLOOKUP(P43,String!$D$8:$E$44,2,FALSE))))*(2*Q43*R43)^2/386.4</f>
        <v>20.702510159289957</v>
      </c>
      <c r="T43" s="33"/>
    </row>
    <row r="44" spans="5:24" x14ac:dyDescent="0.2">
      <c r="E44" s="33"/>
      <c r="F44" s="34" t="s">
        <v>148</v>
      </c>
      <c r="G44" s="73" t="s">
        <v>51</v>
      </c>
      <c r="H44" s="73" t="s">
        <v>9</v>
      </c>
      <c r="I44" s="74">
        <v>25.5</v>
      </c>
      <c r="J44" s="45">
        <f>VLOOKUP(G44, Pitch!$A$4:$B$52, 2, FALSE)</f>
        <v>164.81377845643513</v>
      </c>
      <c r="K44" s="59">
        <f>IFERROR(IF(F31="PB",VLOOKUP(H44,String!$G$8:$H$48,2,FALSE),IF(F31="BW",VLOOKUP(H44,String!$J$8:$K$40,2,FALSE),VLOOKUP(H44,String!$D$8:$E$44,2,FALSE)))*(2*I44*J44)^2/386.4,"Select String")</f>
        <v>21.360305918066249</v>
      </c>
      <c r="L44" s="61">
        <f>IFERROR((K43+K44),"Select String")</f>
        <v>42.062816077356203</v>
      </c>
      <c r="N44" s="34" t="s">
        <v>148</v>
      </c>
      <c r="O44" s="73" t="s">
        <v>51</v>
      </c>
      <c r="P44" s="44" t="str">
        <f>IF(LEFT((O31),7)="EJ36 10",String!$L$128,IF(LEFT((O31),7)="EXL150 ",String!$P$145,IF(LEFT((O31),7)="EJ41 9-",String!$P$112,IF(LEFT((O31),7)="EJ38 10",String!$R$112,IF(LEFT((O31),7)="EJ39 12",String!$T$112,String!$V$112)))))</f>
        <v>PB027</v>
      </c>
      <c r="Q44" s="74">
        <v>25.5</v>
      </c>
      <c r="R44" s="45">
        <f>VLOOKUP(O44, Pitch!$A$4:$B$52, 2, FALSE)</f>
        <v>164.81377845643513</v>
      </c>
      <c r="S44" s="60">
        <f>IF(LEFT(P44,2)="PL",VLOOKUP(P44,String!$A$8:$B$33,2,FALSE),IF(LEFT(P44,2)="PB",VLOOKUP(P44,String!$G$8:$H$48,2,FALSE),IF(LEFT(P44,2)="BW",VLOOKUP(P44,String!$J$8:$K$40,2,FALSE),VLOOKUP(P44,String!$D$8:$E$44,2,FALSE))))*(2*Q44*R44)^2/386.4</f>
        <v>27.12367556827553</v>
      </c>
      <c r="T44" s="48">
        <f>S43+S44</f>
        <v>47.826185727565488</v>
      </c>
    </row>
    <row r="45" spans="5:24" x14ac:dyDescent="0.2">
      <c r="E45" s="33"/>
      <c r="F45" s="33"/>
      <c r="G45" s="33"/>
      <c r="H45" s="33"/>
      <c r="I45" s="33"/>
      <c r="J45" s="33"/>
      <c r="K45" s="33"/>
      <c r="L45" s="33"/>
      <c r="N45" s="33"/>
      <c r="O45" s="33"/>
      <c r="P45" s="33"/>
      <c r="Q45" s="33"/>
      <c r="R45" s="33"/>
      <c r="S45" s="33"/>
      <c r="T45" s="33"/>
    </row>
    <row r="46" spans="5:24" x14ac:dyDescent="0.2">
      <c r="E46" s="33"/>
      <c r="F46" s="33"/>
      <c r="G46" s="33"/>
      <c r="H46" s="33"/>
      <c r="I46" s="33"/>
      <c r="J46" s="33"/>
      <c r="K46" s="54">
        <f>SUM(K33:K44)</f>
        <v>252.2560760423452</v>
      </c>
      <c r="L46" s="33" t="s">
        <v>360</v>
      </c>
      <c r="N46" s="33"/>
      <c r="O46" s="33"/>
      <c r="P46" s="33"/>
      <c r="Q46" s="33"/>
      <c r="R46" s="33"/>
      <c r="S46" s="54">
        <f>SUM(S33:S44)</f>
        <v>252.60681879977892</v>
      </c>
      <c r="T46" s="33" t="s">
        <v>360</v>
      </c>
    </row>
    <row r="47" spans="5:24" x14ac:dyDescent="0.2">
      <c r="E47" s="33"/>
      <c r="F47" s="33"/>
      <c r="G47" s="33"/>
      <c r="H47" s="33"/>
      <c r="I47" s="33"/>
      <c r="J47" s="33"/>
      <c r="K47" s="55">
        <f>K46/12</f>
        <v>21.021339670195434</v>
      </c>
      <c r="L47" s="33" t="s">
        <v>361</v>
      </c>
      <c r="N47" s="33"/>
      <c r="O47" s="33"/>
      <c r="P47" s="33"/>
      <c r="Q47" s="33"/>
      <c r="R47" s="33"/>
      <c r="S47" s="55">
        <f>S46/12</f>
        <v>21.050568233314909</v>
      </c>
      <c r="T47" s="33" t="s">
        <v>361</v>
      </c>
    </row>
    <row r="48" spans="5:24" x14ac:dyDescent="0.2">
      <c r="E48" s="33"/>
      <c r="F48" s="33"/>
      <c r="G48" s="33"/>
      <c r="H48" s="33"/>
      <c r="I48" s="33"/>
      <c r="J48" s="33"/>
      <c r="K48" s="48">
        <f>MAX(K33:K44)-MIN(K33:K44)</f>
        <v>1.2758355662242593</v>
      </c>
      <c r="L48" s="33" t="s">
        <v>359</v>
      </c>
      <c r="N48" s="33"/>
      <c r="O48" s="33"/>
      <c r="P48" s="33"/>
      <c r="Q48" s="33"/>
      <c r="R48" s="33"/>
      <c r="S48" s="48">
        <f>MAX(S33:S44)-MIN(S33:S44)</f>
        <v>13.262883757649526</v>
      </c>
      <c r="T48" s="33" t="s">
        <v>359</v>
      </c>
    </row>
    <row r="59" spans="14:15" x14ac:dyDescent="0.2">
      <c r="N59" s="32"/>
    </row>
    <row r="60" spans="14:15" x14ac:dyDescent="0.2">
      <c r="O60" s="23"/>
    </row>
    <row r="61" spans="14:15" x14ac:dyDescent="0.2">
      <c r="O61" s="23"/>
    </row>
    <row r="62" spans="14:15" x14ac:dyDescent="0.2">
      <c r="O62" s="23"/>
    </row>
    <row r="63" spans="14:15" x14ac:dyDescent="0.2">
      <c r="O63" s="23"/>
    </row>
  </sheetData>
  <sheetProtection password="AEEB" sheet="1" objects="1" scenarios="1"/>
  <mergeCells count="9">
    <mergeCell ref="E1:T1"/>
    <mergeCell ref="O31:Q31"/>
    <mergeCell ref="E30:G30"/>
    <mergeCell ref="E5:G5"/>
    <mergeCell ref="E29:L29"/>
    <mergeCell ref="N29:T29"/>
    <mergeCell ref="O30:Q30"/>
    <mergeCell ref="E3:T3"/>
    <mergeCell ref="O8:S8"/>
  </mergeCells>
  <dataValidations count="11">
    <dataValidation type="list" allowBlank="1" showInputMessage="1" showErrorMessage="1" sqref="H33:H36 H38 H40">
      <formula1>Plain</formula1>
    </dataValidation>
    <dataValidation type="list" allowBlank="1" showInputMessage="1" showErrorMessage="1" sqref="G10:G22 G33:G44 O33:O44">
      <formula1>Pitch</formula1>
    </dataValidation>
    <dataValidation type="list" allowBlank="1" showInputMessage="1" showErrorMessage="1" sqref="E14 E19 E37 E42">
      <formula1>"Plain, Wound"</formula1>
    </dataValidation>
    <dataValidation type="list" allowBlank="1" showInputMessage="1" showErrorMessage="1" sqref="H44">
      <formula1>IF(F31="PB",PhosBronze,(IF(F31="BW",Bronze,NickelWound)))</formula1>
    </dataValidation>
    <dataValidation type="list" allowBlank="1" showInputMessage="1" showErrorMessage="1" sqref="H37">
      <formula1>IF(E37="Plain",Plain,(IF(F31="PB",PhosBronze,(IF(F31="BW",Bronze,NickelWound)))))</formula1>
    </dataValidation>
    <dataValidation type="list" allowBlank="1" showInputMessage="1" showErrorMessage="1" sqref="H42">
      <formula1>IF(E42="Plain",Plain,(IF(F31="PB",PhosBronze,(IF(F31="BW",Bronze,NickelWound)))))</formula1>
    </dataValidation>
    <dataValidation type="list" allowBlank="1" showInputMessage="1" showErrorMessage="1" sqref="H39">
      <formula1>IF(F31="PB",PhosBronze,(IF(F31="BW",Bronze,NickelWound)))</formula1>
    </dataValidation>
    <dataValidation type="list" allowBlank="1" showInputMessage="1" showErrorMessage="1" sqref="H41">
      <formula1>IF(F31="PB",PhosBronze,(IF(F31="BW",Bronze,NickelWound)))</formula1>
    </dataValidation>
    <dataValidation type="list" allowBlank="1" showInputMessage="1" showErrorMessage="1" sqref="H43">
      <formula1>IF(F31="PB",PhosBronze,(IF(F31="BW",Bronze,NickelWound)))</formula1>
    </dataValidation>
    <dataValidation type="list" allowBlank="1" showInputMessage="1" showErrorMessage="1" sqref="O31">
      <formula1>IF(N31="BW",BWSet12,(IF(N31="PB",PBSet12,NWSet12)))</formula1>
    </dataValidation>
    <dataValidation type="list" allowBlank="1" showInputMessage="1" showErrorMessage="1" sqref="N31 F31 F6">
      <formula1>"BW, NW, PB"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123"/>
  <sheetViews>
    <sheetView workbookViewId="0">
      <selection sqref="A1:P1"/>
    </sheetView>
  </sheetViews>
  <sheetFormatPr defaultRowHeight="12.75" x14ac:dyDescent="0.2"/>
  <cols>
    <col min="2" max="2" width="10.5703125" bestFit="1" customWidth="1"/>
    <col min="15" max="15" width="10.5703125" style="7" bestFit="1" customWidth="1"/>
  </cols>
  <sheetData>
    <row r="1" spans="1:17" x14ac:dyDescent="0.2">
      <c r="A1" s="98" t="s">
        <v>363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7" x14ac:dyDescent="0.2">
      <c r="A2" s="97" t="s">
        <v>237</v>
      </c>
      <c r="B2" s="97"/>
      <c r="C2" s="97"/>
      <c r="L2" s="97" t="s">
        <v>234</v>
      </c>
      <c r="M2" s="97"/>
      <c r="N2" s="97"/>
      <c r="O2" s="97"/>
      <c r="P2" s="97"/>
      <c r="Q2" s="97"/>
    </row>
    <row r="3" spans="1:17" x14ac:dyDescent="0.2">
      <c r="A3" s="2" t="s">
        <v>24</v>
      </c>
      <c r="B3" s="2" t="s">
        <v>1</v>
      </c>
      <c r="M3" s="2" t="s">
        <v>3</v>
      </c>
      <c r="N3" s="2" t="s">
        <v>160</v>
      </c>
      <c r="O3" s="11" t="s">
        <v>1</v>
      </c>
      <c r="P3" s="2" t="s">
        <v>3</v>
      </c>
    </row>
    <row r="4" spans="1:17" x14ac:dyDescent="0.2">
      <c r="A4" s="5" t="s">
        <v>183</v>
      </c>
      <c r="B4" s="6">
        <f t="shared" ref="B4:B15" si="0">B5*2^(1/12)</f>
        <v>440.0000000000008</v>
      </c>
      <c r="M4" t="s">
        <v>171</v>
      </c>
      <c r="N4">
        <f t="shared" ref="N4:N15" si="1">ROUND(SUM(69+12*LOG(O4/440,2)),0)</f>
        <v>0</v>
      </c>
      <c r="O4" s="7">
        <f t="shared" ref="O4:O67" si="2">O5/2^(1/12)</f>
        <v>8.1757989156436803</v>
      </c>
      <c r="P4" t="s">
        <v>171</v>
      </c>
    </row>
    <row r="5" spans="1:17" x14ac:dyDescent="0.2">
      <c r="A5" s="5" t="s">
        <v>161</v>
      </c>
      <c r="B5" s="6">
        <f t="shared" si="0"/>
        <v>415.30469757994587</v>
      </c>
      <c r="M5" t="s">
        <v>172</v>
      </c>
      <c r="N5">
        <f t="shared" si="1"/>
        <v>1</v>
      </c>
      <c r="O5" s="7">
        <f t="shared" si="2"/>
        <v>8.661957218027224</v>
      </c>
      <c r="P5" t="s">
        <v>172</v>
      </c>
    </row>
    <row r="6" spans="1:17" x14ac:dyDescent="0.2">
      <c r="A6" s="5" t="s">
        <v>66</v>
      </c>
      <c r="B6" s="6">
        <f t="shared" si="0"/>
        <v>391.99543598174995</v>
      </c>
      <c r="M6" t="s">
        <v>173</v>
      </c>
      <c r="N6">
        <f t="shared" si="1"/>
        <v>2</v>
      </c>
      <c r="O6" s="7">
        <f t="shared" si="2"/>
        <v>9.1770239974189565</v>
      </c>
      <c r="P6" t="s">
        <v>173</v>
      </c>
    </row>
    <row r="7" spans="1:17" x14ac:dyDescent="0.2">
      <c r="A7" s="5" t="s">
        <v>65</v>
      </c>
      <c r="B7" s="6">
        <f t="shared" si="0"/>
        <v>369.99442271163502</v>
      </c>
      <c r="M7" t="s">
        <v>174</v>
      </c>
      <c r="N7">
        <f t="shared" si="1"/>
        <v>3</v>
      </c>
      <c r="O7" s="7">
        <f t="shared" si="2"/>
        <v>9.7227182413149968</v>
      </c>
      <c r="P7" t="s">
        <v>174</v>
      </c>
    </row>
    <row r="8" spans="1:17" x14ac:dyDescent="0.2">
      <c r="A8" s="5" t="s">
        <v>64</v>
      </c>
      <c r="B8" s="6">
        <f t="shared" si="0"/>
        <v>349.22823143300445</v>
      </c>
      <c r="J8" t="s">
        <v>122</v>
      </c>
      <c r="M8" t="s">
        <v>175</v>
      </c>
      <c r="N8">
        <f t="shared" si="1"/>
        <v>4</v>
      </c>
      <c r="O8" s="7">
        <f t="shared" si="2"/>
        <v>10.300861153527153</v>
      </c>
      <c r="P8" t="s">
        <v>175</v>
      </c>
    </row>
    <row r="9" spans="1:17" x14ac:dyDescent="0.2">
      <c r="A9" s="5" t="s">
        <v>63</v>
      </c>
      <c r="B9" s="6">
        <f t="shared" si="0"/>
        <v>329.62755691287043</v>
      </c>
      <c r="M9" t="s">
        <v>176</v>
      </c>
      <c r="N9">
        <f t="shared" si="1"/>
        <v>5</v>
      </c>
      <c r="O9" s="7">
        <f t="shared" si="2"/>
        <v>10.913382232281338</v>
      </c>
      <c r="P9" t="s">
        <v>176</v>
      </c>
    </row>
    <row r="10" spans="1:17" x14ac:dyDescent="0.2">
      <c r="A10" s="5" t="s">
        <v>62</v>
      </c>
      <c r="B10" s="6">
        <f t="shared" si="0"/>
        <v>311.12698372208138</v>
      </c>
      <c r="M10" t="s">
        <v>177</v>
      </c>
      <c r="N10">
        <f t="shared" si="1"/>
        <v>6</v>
      </c>
      <c r="O10" s="7">
        <f t="shared" si="2"/>
        <v>11.562325709738539</v>
      </c>
      <c r="P10" t="s">
        <v>177</v>
      </c>
    </row>
    <row r="11" spans="1:17" x14ac:dyDescent="0.2">
      <c r="A11" s="5" t="s">
        <v>61</v>
      </c>
      <c r="B11" s="6">
        <f t="shared" si="0"/>
        <v>293.66476791740797</v>
      </c>
      <c r="M11" t="s">
        <v>178</v>
      </c>
      <c r="N11">
        <f t="shared" si="1"/>
        <v>7</v>
      </c>
      <c r="O11" s="7">
        <f t="shared" si="2"/>
        <v>12.249857374429629</v>
      </c>
      <c r="P11" t="s">
        <v>178</v>
      </c>
    </row>
    <row r="12" spans="1:17" x14ac:dyDescent="0.2">
      <c r="A12" s="5" t="s">
        <v>60</v>
      </c>
      <c r="B12" s="6">
        <f t="shared" si="0"/>
        <v>277.18263097687247</v>
      </c>
      <c r="M12" t="s">
        <v>179</v>
      </c>
      <c r="N12">
        <f t="shared" si="1"/>
        <v>8</v>
      </c>
      <c r="O12" s="7">
        <f t="shared" si="2"/>
        <v>12.978271799373248</v>
      </c>
      <c r="P12" t="s">
        <v>179</v>
      </c>
    </row>
    <row r="13" spans="1:17" x14ac:dyDescent="0.2">
      <c r="A13" s="5" t="s">
        <v>59</v>
      </c>
      <c r="B13" s="6">
        <f t="shared" si="0"/>
        <v>261.62556530059896</v>
      </c>
      <c r="C13" s="1" t="s">
        <v>158</v>
      </c>
      <c r="M13" s="5" t="s">
        <v>180</v>
      </c>
      <c r="N13">
        <f t="shared" si="1"/>
        <v>9</v>
      </c>
      <c r="O13" s="7">
        <f t="shared" si="2"/>
        <v>13.749999999999961</v>
      </c>
      <c r="P13" s="5" t="s">
        <v>180</v>
      </c>
    </row>
    <row r="14" spans="1:17" x14ac:dyDescent="0.2">
      <c r="A14" s="5" t="s">
        <v>58</v>
      </c>
      <c r="B14" s="6">
        <f t="shared" si="0"/>
        <v>246.94165062806238</v>
      </c>
      <c r="M14" s="5" t="s">
        <v>181</v>
      </c>
      <c r="N14">
        <f t="shared" si="1"/>
        <v>10</v>
      </c>
      <c r="O14" s="7">
        <f t="shared" si="2"/>
        <v>14.567617547440269</v>
      </c>
      <c r="P14" s="5" t="s">
        <v>181</v>
      </c>
    </row>
    <row r="15" spans="1:17" x14ac:dyDescent="0.2">
      <c r="A15" s="5" t="s">
        <v>57</v>
      </c>
      <c r="B15" s="6">
        <f t="shared" si="0"/>
        <v>233.08188075904525</v>
      </c>
      <c r="M15" s="5" t="s">
        <v>182</v>
      </c>
      <c r="N15">
        <f t="shared" si="1"/>
        <v>11</v>
      </c>
      <c r="O15" s="7">
        <f t="shared" si="2"/>
        <v>15.433853164253836</v>
      </c>
      <c r="P15" s="5" t="s">
        <v>182</v>
      </c>
    </row>
    <row r="16" spans="1:17" x14ac:dyDescent="0.2">
      <c r="A16" s="5" t="s">
        <v>56</v>
      </c>
      <c r="B16" s="6">
        <f t="shared" ref="B16:B27" si="3">B17*2^(1/12)</f>
        <v>220.00000000000026</v>
      </c>
      <c r="M16" t="s">
        <v>170</v>
      </c>
      <c r="N16">
        <f t="shared" ref="N16:N24" si="4">ROUND(SUM(69+12*LOG(O16/440,2)),0)</f>
        <v>12</v>
      </c>
      <c r="O16" s="7">
        <f t="shared" si="2"/>
        <v>16.351597831287371</v>
      </c>
      <c r="P16" t="s">
        <v>170</v>
      </c>
    </row>
    <row r="17" spans="1:16" x14ac:dyDescent="0.2">
      <c r="A17" s="5" t="s">
        <v>55</v>
      </c>
      <c r="B17" s="6">
        <f t="shared" si="3"/>
        <v>207.65234878997279</v>
      </c>
      <c r="M17" t="s">
        <v>169</v>
      </c>
      <c r="N17">
        <f t="shared" si="4"/>
        <v>13</v>
      </c>
      <c r="O17" s="7">
        <f t="shared" si="2"/>
        <v>17.323914436054462</v>
      </c>
      <c r="P17" t="s">
        <v>169</v>
      </c>
    </row>
    <row r="18" spans="1:16" x14ac:dyDescent="0.2">
      <c r="A18" s="5" t="s">
        <v>54</v>
      </c>
      <c r="B18" s="6">
        <f t="shared" si="3"/>
        <v>195.99771799087486</v>
      </c>
      <c r="M18" t="s">
        <v>168</v>
      </c>
      <c r="N18">
        <f t="shared" si="4"/>
        <v>14</v>
      </c>
      <c r="O18" s="7">
        <f t="shared" si="2"/>
        <v>18.354047994837927</v>
      </c>
      <c r="P18" t="s">
        <v>168</v>
      </c>
    </row>
    <row r="19" spans="1:16" x14ac:dyDescent="0.2">
      <c r="A19" s="5" t="s">
        <v>53</v>
      </c>
      <c r="B19" s="6">
        <f t="shared" si="3"/>
        <v>184.9972113558174</v>
      </c>
      <c r="M19" t="s">
        <v>167</v>
      </c>
      <c r="N19">
        <f t="shared" si="4"/>
        <v>15</v>
      </c>
      <c r="O19" s="7">
        <f t="shared" si="2"/>
        <v>19.445436482630008</v>
      </c>
      <c r="P19" t="s">
        <v>167</v>
      </c>
    </row>
    <row r="20" spans="1:16" x14ac:dyDescent="0.2">
      <c r="A20" s="5" t="s">
        <v>52</v>
      </c>
      <c r="B20" s="6">
        <f t="shared" si="3"/>
        <v>174.61411571650211</v>
      </c>
      <c r="M20" t="s">
        <v>166</v>
      </c>
      <c r="N20">
        <f t="shared" si="4"/>
        <v>16</v>
      </c>
      <c r="O20" s="7">
        <f t="shared" si="2"/>
        <v>20.60172230705432</v>
      </c>
      <c r="P20" t="s">
        <v>166</v>
      </c>
    </row>
    <row r="21" spans="1:16" x14ac:dyDescent="0.2">
      <c r="A21" s="5" t="s">
        <v>51</v>
      </c>
      <c r="B21" s="6">
        <f t="shared" si="3"/>
        <v>164.81377845643513</v>
      </c>
      <c r="M21" t="s">
        <v>165</v>
      </c>
      <c r="N21">
        <f t="shared" si="4"/>
        <v>17</v>
      </c>
      <c r="O21" s="7">
        <f t="shared" si="2"/>
        <v>21.826764464562689</v>
      </c>
      <c r="P21" t="s">
        <v>165</v>
      </c>
    </row>
    <row r="22" spans="1:16" x14ac:dyDescent="0.2">
      <c r="A22" s="5" t="s">
        <v>50</v>
      </c>
      <c r="B22" s="6">
        <f t="shared" si="3"/>
        <v>155.5634918610406</v>
      </c>
      <c r="M22" t="s">
        <v>164</v>
      </c>
      <c r="N22">
        <f t="shared" si="4"/>
        <v>18</v>
      </c>
      <c r="O22" s="7">
        <f t="shared" si="2"/>
        <v>23.124651419477093</v>
      </c>
      <c r="P22" t="s">
        <v>164</v>
      </c>
    </row>
    <row r="23" spans="1:16" x14ac:dyDescent="0.2">
      <c r="A23" s="5" t="s">
        <v>49</v>
      </c>
      <c r="B23" s="6">
        <f t="shared" si="3"/>
        <v>146.8323839587039</v>
      </c>
      <c r="M23" t="s">
        <v>163</v>
      </c>
      <c r="N23">
        <f t="shared" si="4"/>
        <v>19</v>
      </c>
      <c r="O23" s="7">
        <f t="shared" si="2"/>
        <v>24.499714748859272</v>
      </c>
      <c r="P23" t="s">
        <v>163</v>
      </c>
    </row>
    <row r="24" spans="1:16" x14ac:dyDescent="0.2">
      <c r="A24" s="5" t="s">
        <v>48</v>
      </c>
      <c r="B24" s="6">
        <f t="shared" si="3"/>
        <v>138.59131548843615</v>
      </c>
      <c r="M24" t="s">
        <v>162</v>
      </c>
      <c r="N24">
        <f t="shared" si="4"/>
        <v>20</v>
      </c>
      <c r="O24" s="7">
        <f t="shared" si="2"/>
        <v>25.95654359874651</v>
      </c>
      <c r="P24" t="s">
        <v>162</v>
      </c>
    </row>
    <row r="25" spans="1:16" x14ac:dyDescent="0.2">
      <c r="A25" s="5" t="s">
        <v>47</v>
      </c>
      <c r="B25" s="6">
        <f t="shared" si="3"/>
        <v>130.8127826502994</v>
      </c>
      <c r="M25" s="5" t="s">
        <v>135</v>
      </c>
      <c r="N25">
        <f t="shared" ref="N25:N88" si="5">ROUND(SUM(69+12*LOG(O25/440,2)),0)</f>
        <v>21</v>
      </c>
      <c r="O25" s="7">
        <f t="shared" si="2"/>
        <v>27.499999999999936</v>
      </c>
      <c r="P25" s="5" t="s">
        <v>135</v>
      </c>
    </row>
    <row r="26" spans="1:16" x14ac:dyDescent="0.2">
      <c r="A26" s="5" t="s">
        <v>46</v>
      </c>
      <c r="B26" s="6">
        <f t="shared" si="3"/>
        <v>123.4708253140311</v>
      </c>
      <c r="M26" s="5" t="s">
        <v>136</v>
      </c>
      <c r="N26">
        <f t="shared" si="5"/>
        <v>22</v>
      </c>
      <c r="O26" s="7">
        <f t="shared" si="2"/>
        <v>29.135235094880553</v>
      </c>
      <c r="P26" s="5" t="s">
        <v>136</v>
      </c>
    </row>
    <row r="27" spans="1:16" x14ac:dyDescent="0.2">
      <c r="A27" s="5" t="s">
        <v>45</v>
      </c>
      <c r="B27" s="6">
        <f t="shared" si="3"/>
        <v>116.54094037952254</v>
      </c>
      <c r="M27" s="5" t="s">
        <v>134</v>
      </c>
      <c r="N27">
        <f t="shared" si="5"/>
        <v>23</v>
      </c>
      <c r="O27" s="7">
        <f t="shared" si="2"/>
        <v>30.867706328507687</v>
      </c>
      <c r="P27" s="5" t="s">
        <v>134</v>
      </c>
    </row>
    <row r="28" spans="1:16" x14ac:dyDescent="0.2">
      <c r="A28" s="5" t="s">
        <v>44</v>
      </c>
      <c r="B28" s="6">
        <f t="shared" ref="B28:B39" si="6">B29*2^(1/12)</f>
        <v>110.00000000000006</v>
      </c>
      <c r="M28" s="5" t="s">
        <v>133</v>
      </c>
      <c r="N28">
        <f t="shared" si="5"/>
        <v>24</v>
      </c>
      <c r="O28" s="7">
        <f t="shared" si="2"/>
        <v>32.703195662574757</v>
      </c>
      <c r="P28" s="5" t="s">
        <v>133</v>
      </c>
    </row>
    <row r="29" spans="1:16" x14ac:dyDescent="0.2">
      <c r="A29" s="5" t="s">
        <v>43</v>
      </c>
      <c r="B29" s="6">
        <f t="shared" si="6"/>
        <v>103.82617439498634</v>
      </c>
      <c r="M29" s="5" t="s">
        <v>132</v>
      </c>
      <c r="N29">
        <f t="shared" si="5"/>
        <v>25</v>
      </c>
      <c r="O29" s="7">
        <f t="shared" si="2"/>
        <v>34.647828872108938</v>
      </c>
      <c r="P29" s="5" t="s">
        <v>132</v>
      </c>
    </row>
    <row r="30" spans="1:16" x14ac:dyDescent="0.2">
      <c r="A30" s="5" t="s">
        <v>42</v>
      </c>
      <c r="B30" s="6">
        <f t="shared" si="6"/>
        <v>97.998858995437374</v>
      </c>
      <c r="M30" s="5" t="s">
        <v>131</v>
      </c>
      <c r="N30">
        <f t="shared" si="5"/>
        <v>26</v>
      </c>
      <c r="O30" s="7">
        <f t="shared" si="2"/>
        <v>36.708095989675869</v>
      </c>
      <c r="P30" s="5" t="s">
        <v>131</v>
      </c>
    </row>
    <row r="31" spans="1:16" x14ac:dyDescent="0.2">
      <c r="A31" s="5" t="s">
        <v>41</v>
      </c>
      <c r="B31" s="6">
        <f t="shared" si="6"/>
        <v>92.498605677908643</v>
      </c>
      <c r="M31" s="5" t="s">
        <v>130</v>
      </c>
      <c r="N31">
        <f t="shared" si="5"/>
        <v>27</v>
      </c>
      <c r="O31" s="7">
        <f t="shared" si="2"/>
        <v>38.890872965260037</v>
      </c>
      <c r="P31" s="5" t="s">
        <v>130</v>
      </c>
    </row>
    <row r="32" spans="1:16" x14ac:dyDescent="0.2">
      <c r="A32" s="5" t="s">
        <v>40</v>
      </c>
      <c r="B32" s="6">
        <f t="shared" si="6"/>
        <v>87.307057858251014</v>
      </c>
      <c r="M32" s="5" t="s">
        <v>129</v>
      </c>
      <c r="N32">
        <f t="shared" si="5"/>
        <v>28</v>
      </c>
      <c r="O32" s="7">
        <f t="shared" si="2"/>
        <v>41.203444614108662</v>
      </c>
      <c r="P32" s="5" t="s">
        <v>129</v>
      </c>
    </row>
    <row r="33" spans="1:16" x14ac:dyDescent="0.2">
      <c r="A33" s="5" t="s">
        <v>39</v>
      </c>
      <c r="B33" s="6">
        <f t="shared" si="6"/>
        <v>82.406889228217523</v>
      </c>
      <c r="M33" s="5" t="s">
        <v>128</v>
      </c>
      <c r="N33">
        <f t="shared" si="5"/>
        <v>29</v>
      </c>
      <c r="O33" s="7">
        <f t="shared" si="2"/>
        <v>43.6535289291254</v>
      </c>
      <c r="P33" s="5" t="s">
        <v>128</v>
      </c>
    </row>
    <row r="34" spans="1:16" x14ac:dyDescent="0.2">
      <c r="A34" s="5" t="s">
        <v>38</v>
      </c>
      <c r="B34" s="6">
        <f t="shared" si="6"/>
        <v>77.781745930520259</v>
      </c>
      <c r="M34" s="5" t="s">
        <v>127</v>
      </c>
      <c r="N34">
        <f t="shared" si="5"/>
        <v>30</v>
      </c>
      <c r="O34" s="7">
        <f t="shared" si="2"/>
        <v>46.249302838954215</v>
      </c>
      <c r="P34" s="5" t="s">
        <v>127</v>
      </c>
    </row>
    <row r="35" spans="1:16" x14ac:dyDescent="0.2">
      <c r="A35" s="5" t="s">
        <v>37</v>
      </c>
      <c r="B35" s="6">
        <f t="shared" si="6"/>
        <v>73.416191979351922</v>
      </c>
      <c r="M35" s="5" t="s">
        <v>126</v>
      </c>
      <c r="N35">
        <f t="shared" si="5"/>
        <v>31</v>
      </c>
      <c r="O35" s="7">
        <f t="shared" si="2"/>
        <v>48.999429497718573</v>
      </c>
      <c r="P35" s="5" t="s">
        <v>126</v>
      </c>
    </row>
    <row r="36" spans="1:16" x14ac:dyDescent="0.2">
      <c r="A36" s="5" t="s">
        <v>36</v>
      </c>
      <c r="B36" s="6">
        <f t="shared" si="6"/>
        <v>69.295657744218047</v>
      </c>
      <c r="M36" s="5" t="s">
        <v>125</v>
      </c>
      <c r="N36">
        <f t="shared" si="5"/>
        <v>32</v>
      </c>
      <c r="O36" s="7">
        <f t="shared" si="2"/>
        <v>51.913087197493049</v>
      </c>
      <c r="P36" s="5" t="s">
        <v>125</v>
      </c>
    </row>
    <row r="37" spans="1:16" x14ac:dyDescent="0.2">
      <c r="A37" s="5" t="s">
        <v>35</v>
      </c>
      <c r="B37" s="6">
        <f t="shared" si="6"/>
        <v>65.406391325149684</v>
      </c>
      <c r="M37" s="5" t="s">
        <v>124</v>
      </c>
      <c r="N37">
        <f t="shared" si="5"/>
        <v>33</v>
      </c>
      <c r="O37" s="7">
        <f t="shared" si="2"/>
        <v>54.999999999999901</v>
      </c>
      <c r="P37" s="5" t="s">
        <v>124</v>
      </c>
    </row>
    <row r="38" spans="1:16" x14ac:dyDescent="0.2">
      <c r="A38" s="5" t="s">
        <v>34</v>
      </c>
      <c r="B38" s="6">
        <f t="shared" si="6"/>
        <v>61.735412657015537</v>
      </c>
      <c r="M38" s="5" t="s">
        <v>123</v>
      </c>
      <c r="N38">
        <f t="shared" si="5"/>
        <v>34</v>
      </c>
      <c r="O38" s="7">
        <f t="shared" si="2"/>
        <v>58.270470189761134</v>
      </c>
      <c r="P38" s="5" t="s">
        <v>123</v>
      </c>
    </row>
    <row r="39" spans="1:16" x14ac:dyDescent="0.2">
      <c r="A39" s="5" t="s">
        <v>123</v>
      </c>
      <c r="B39" s="6">
        <f t="shared" si="6"/>
        <v>58.270470189761262</v>
      </c>
      <c r="M39" s="5" t="s">
        <v>34</v>
      </c>
      <c r="N39">
        <f t="shared" si="5"/>
        <v>35</v>
      </c>
      <c r="O39" s="7">
        <f t="shared" si="2"/>
        <v>61.735412657015402</v>
      </c>
      <c r="P39" s="5" t="s">
        <v>34</v>
      </c>
    </row>
    <row r="40" spans="1:16" x14ac:dyDescent="0.2">
      <c r="A40" s="5" t="s">
        <v>124</v>
      </c>
      <c r="B40" s="6">
        <f t="shared" ref="B40:B50" si="7">B41*2^(1/12)</f>
        <v>55.000000000000021</v>
      </c>
      <c r="M40" s="5" t="s">
        <v>35</v>
      </c>
      <c r="N40">
        <f t="shared" si="5"/>
        <v>36</v>
      </c>
      <c r="O40" s="7">
        <f t="shared" si="2"/>
        <v>65.406391325149542</v>
      </c>
      <c r="P40" s="5" t="s">
        <v>35</v>
      </c>
    </row>
    <row r="41" spans="1:16" x14ac:dyDescent="0.2">
      <c r="A41" s="5" t="s">
        <v>125</v>
      </c>
      <c r="B41" s="6">
        <f t="shared" si="7"/>
        <v>51.913087197493162</v>
      </c>
      <c r="M41" s="5" t="s">
        <v>36</v>
      </c>
      <c r="N41">
        <f t="shared" si="5"/>
        <v>37</v>
      </c>
      <c r="O41" s="7">
        <f t="shared" si="2"/>
        <v>69.295657744217905</v>
      </c>
      <c r="P41" s="5" t="s">
        <v>36</v>
      </c>
    </row>
    <row r="42" spans="1:16" x14ac:dyDescent="0.2">
      <c r="A42" s="5" t="s">
        <v>126</v>
      </c>
      <c r="B42" s="6">
        <f t="shared" si="7"/>
        <v>48.99942949771868</v>
      </c>
      <c r="M42" s="5" t="s">
        <v>37</v>
      </c>
      <c r="N42">
        <f t="shared" si="5"/>
        <v>38</v>
      </c>
      <c r="O42" s="7">
        <f t="shared" si="2"/>
        <v>73.416191979351765</v>
      </c>
      <c r="P42" s="5" t="s">
        <v>37</v>
      </c>
    </row>
    <row r="43" spans="1:16" x14ac:dyDescent="0.2">
      <c r="A43" s="5" t="s">
        <v>127</v>
      </c>
      <c r="B43" s="6">
        <f t="shared" si="7"/>
        <v>46.249302838954314</v>
      </c>
      <c r="M43" s="5" t="s">
        <v>38</v>
      </c>
      <c r="N43">
        <f t="shared" si="5"/>
        <v>39</v>
      </c>
      <c r="O43" s="7">
        <f t="shared" si="2"/>
        <v>77.781745930520103</v>
      </c>
      <c r="P43" s="5" t="s">
        <v>38</v>
      </c>
    </row>
    <row r="44" spans="1:16" x14ac:dyDescent="0.2">
      <c r="A44" s="5" t="s">
        <v>128</v>
      </c>
      <c r="B44" s="6">
        <f t="shared" si="7"/>
        <v>43.6535289291255</v>
      </c>
      <c r="M44" s="5" t="s">
        <v>39</v>
      </c>
      <c r="N44">
        <f t="shared" si="5"/>
        <v>40</v>
      </c>
      <c r="O44" s="7">
        <f t="shared" si="2"/>
        <v>82.406889228217352</v>
      </c>
      <c r="P44" s="5" t="s">
        <v>39</v>
      </c>
    </row>
    <row r="45" spans="1:16" x14ac:dyDescent="0.2">
      <c r="A45" s="5" t="s">
        <v>129</v>
      </c>
      <c r="B45" s="6">
        <f t="shared" si="7"/>
        <v>41.203444614108754</v>
      </c>
      <c r="M45" s="5" t="s">
        <v>40</v>
      </c>
      <c r="N45">
        <f t="shared" si="5"/>
        <v>41</v>
      </c>
      <c r="O45" s="7">
        <f t="shared" si="2"/>
        <v>87.307057858250843</v>
      </c>
      <c r="P45" s="5" t="s">
        <v>40</v>
      </c>
    </row>
    <row r="46" spans="1:16" x14ac:dyDescent="0.2">
      <c r="A46" s="5" t="s">
        <v>130</v>
      </c>
      <c r="B46" s="6">
        <f t="shared" si="7"/>
        <v>38.890872965260122</v>
      </c>
      <c r="M46" s="5" t="s">
        <v>41</v>
      </c>
      <c r="N46">
        <f t="shared" si="5"/>
        <v>42</v>
      </c>
      <c r="O46" s="7">
        <f t="shared" si="2"/>
        <v>92.498605677908472</v>
      </c>
      <c r="P46" s="5" t="s">
        <v>41</v>
      </c>
    </row>
    <row r="47" spans="1:16" x14ac:dyDescent="0.2">
      <c r="A47" s="5" t="s">
        <v>131</v>
      </c>
      <c r="B47" s="6">
        <f t="shared" si="7"/>
        <v>36.708095989675954</v>
      </c>
      <c r="M47" s="5" t="s">
        <v>42</v>
      </c>
      <c r="N47">
        <f t="shared" si="5"/>
        <v>43</v>
      </c>
      <c r="O47" s="7">
        <f t="shared" si="2"/>
        <v>97.998858995437189</v>
      </c>
      <c r="P47" s="5" t="s">
        <v>42</v>
      </c>
    </row>
    <row r="48" spans="1:16" x14ac:dyDescent="0.2">
      <c r="A48" s="5" t="s">
        <v>132</v>
      </c>
      <c r="B48" s="6">
        <f t="shared" si="7"/>
        <v>34.647828872109017</v>
      </c>
      <c r="M48" s="5" t="s">
        <v>43</v>
      </c>
      <c r="N48">
        <f t="shared" si="5"/>
        <v>44</v>
      </c>
      <c r="O48" s="7">
        <f t="shared" si="2"/>
        <v>103.82617439498615</v>
      </c>
      <c r="P48" s="5" t="s">
        <v>43</v>
      </c>
    </row>
    <row r="49" spans="1:17" x14ac:dyDescent="0.2">
      <c r="A49" s="5" t="s">
        <v>133</v>
      </c>
      <c r="B49" s="6">
        <f t="shared" si="7"/>
        <v>32.703195662574835</v>
      </c>
      <c r="M49" s="5" t="s">
        <v>44</v>
      </c>
      <c r="N49">
        <f t="shared" si="5"/>
        <v>45</v>
      </c>
      <c r="O49" s="7">
        <f t="shared" si="2"/>
        <v>109.99999999999987</v>
      </c>
      <c r="P49" s="5" t="s">
        <v>44</v>
      </c>
    </row>
    <row r="50" spans="1:17" x14ac:dyDescent="0.2">
      <c r="A50" s="5" t="s">
        <v>134</v>
      </c>
      <c r="B50" s="6">
        <f t="shared" si="7"/>
        <v>30.867706328507758</v>
      </c>
      <c r="M50" s="5" t="s">
        <v>45</v>
      </c>
      <c r="N50">
        <f t="shared" si="5"/>
        <v>46</v>
      </c>
      <c r="O50" s="7">
        <f t="shared" si="2"/>
        <v>116.54094037952235</v>
      </c>
      <c r="P50" s="5" t="s">
        <v>45</v>
      </c>
    </row>
    <row r="51" spans="1:17" x14ac:dyDescent="0.2">
      <c r="A51" s="5" t="s">
        <v>136</v>
      </c>
      <c r="B51" s="6">
        <f>B52*2^(1/12)</f>
        <v>29.13523509488062</v>
      </c>
      <c r="M51" s="5" t="s">
        <v>46</v>
      </c>
      <c r="N51">
        <f t="shared" si="5"/>
        <v>47</v>
      </c>
      <c r="O51" s="7">
        <f t="shared" si="2"/>
        <v>123.4708253140309</v>
      </c>
      <c r="P51" s="5" t="s">
        <v>46</v>
      </c>
    </row>
    <row r="52" spans="1:17" x14ac:dyDescent="0.2">
      <c r="A52" s="5" t="s">
        <v>135</v>
      </c>
      <c r="B52" s="6">
        <v>27.5</v>
      </c>
      <c r="M52" s="5" t="s">
        <v>47</v>
      </c>
      <c r="N52">
        <f t="shared" si="5"/>
        <v>48</v>
      </c>
      <c r="O52" s="7">
        <f t="shared" si="2"/>
        <v>130.8127826502992</v>
      </c>
      <c r="P52" s="5" t="s">
        <v>47</v>
      </c>
    </row>
    <row r="53" spans="1:17" x14ac:dyDescent="0.2">
      <c r="A53" s="5"/>
      <c r="B53" s="3"/>
      <c r="M53" s="5" t="s">
        <v>48</v>
      </c>
      <c r="N53">
        <f t="shared" si="5"/>
        <v>49</v>
      </c>
      <c r="O53" s="7">
        <f t="shared" si="2"/>
        <v>138.59131548843592</v>
      </c>
      <c r="P53" s="5" t="s">
        <v>48</v>
      </c>
    </row>
    <row r="54" spans="1:17" x14ac:dyDescent="0.2">
      <c r="A54" s="5"/>
      <c r="B54" s="3"/>
      <c r="M54" s="5" t="s">
        <v>49</v>
      </c>
      <c r="N54">
        <f t="shared" si="5"/>
        <v>50</v>
      </c>
      <c r="O54" s="7">
        <f t="shared" si="2"/>
        <v>146.83238395870364</v>
      </c>
      <c r="P54" s="5" t="s">
        <v>49</v>
      </c>
    </row>
    <row r="55" spans="1:17" x14ac:dyDescent="0.2">
      <c r="A55" s="5"/>
      <c r="B55" s="3"/>
      <c r="M55" s="5" t="s">
        <v>50</v>
      </c>
      <c r="N55">
        <f t="shared" si="5"/>
        <v>51</v>
      </c>
      <c r="O55" s="7">
        <f t="shared" si="2"/>
        <v>155.56349186104032</v>
      </c>
      <c r="P55" s="5" t="s">
        <v>50</v>
      </c>
    </row>
    <row r="56" spans="1:17" x14ac:dyDescent="0.2">
      <c r="A56" s="5"/>
      <c r="B56" s="3"/>
      <c r="M56" s="5" t="s">
        <v>51</v>
      </c>
      <c r="N56">
        <f t="shared" si="5"/>
        <v>52</v>
      </c>
      <c r="O56" s="7">
        <f t="shared" si="2"/>
        <v>164.81377845643482</v>
      </c>
      <c r="P56" s="5" t="s">
        <v>51</v>
      </c>
    </row>
    <row r="57" spans="1:17" x14ac:dyDescent="0.2">
      <c r="A57" s="2" t="s">
        <v>3</v>
      </c>
      <c r="B57" s="2" t="s">
        <v>24</v>
      </c>
      <c r="C57" s="2" t="s">
        <v>160</v>
      </c>
      <c r="F57" s="2" t="s">
        <v>24</v>
      </c>
      <c r="G57" s="2" t="s">
        <v>160</v>
      </c>
      <c r="H57" s="2" t="s">
        <v>3</v>
      </c>
      <c r="M57" s="5" t="s">
        <v>52</v>
      </c>
      <c r="N57">
        <f t="shared" si="5"/>
        <v>53</v>
      </c>
      <c r="O57" s="7">
        <f t="shared" si="2"/>
        <v>174.6141157165018</v>
      </c>
      <c r="P57" s="5" t="s">
        <v>52</v>
      </c>
    </row>
    <row r="58" spans="1:17" x14ac:dyDescent="0.2">
      <c r="A58" s="6">
        <f t="shared" ref="A58:A105" si="8">A59*2^(1/12)</f>
        <v>440.0000000000008</v>
      </c>
      <c r="B58" s="5" t="s">
        <v>183</v>
      </c>
      <c r="C58">
        <f>ROUND(SUM(69+12*LOG(A58/440,2)),0)</f>
        <v>69</v>
      </c>
      <c r="F58" s="5" t="s">
        <v>135</v>
      </c>
      <c r="G58">
        <f t="shared" ref="G58:G106" si="9">ROUND(SUM(69+12*LOG(H58/440,2)),0)</f>
        <v>21</v>
      </c>
      <c r="H58" s="6">
        <v>27.5</v>
      </c>
      <c r="I58" s="5" t="s">
        <v>135</v>
      </c>
      <c r="M58" s="5" t="s">
        <v>53</v>
      </c>
      <c r="N58">
        <f t="shared" si="5"/>
        <v>54</v>
      </c>
      <c r="O58" s="7">
        <f t="shared" si="2"/>
        <v>184.99721135581706</v>
      </c>
      <c r="P58" s="5" t="s">
        <v>53</v>
      </c>
    </row>
    <row r="59" spans="1:17" x14ac:dyDescent="0.2">
      <c r="A59" s="6">
        <f t="shared" si="8"/>
        <v>415.30469757994587</v>
      </c>
      <c r="B59" s="5" t="s">
        <v>161</v>
      </c>
      <c r="C59">
        <f>ROUND(SUM(69+12*LOG(A59/440,2)),0)</f>
        <v>68</v>
      </c>
      <c r="F59" s="5" t="s">
        <v>136</v>
      </c>
      <c r="G59">
        <f t="shared" si="9"/>
        <v>22</v>
      </c>
      <c r="H59" s="6">
        <f>H58*2^(1/12)</f>
        <v>29.13523509488062</v>
      </c>
      <c r="I59" s="5" t="s">
        <v>136</v>
      </c>
      <c r="M59" s="5" t="s">
        <v>54</v>
      </c>
      <c r="N59">
        <f t="shared" si="5"/>
        <v>55</v>
      </c>
      <c r="O59" s="7">
        <f t="shared" si="2"/>
        <v>195.99771799087449</v>
      </c>
      <c r="P59" s="5" t="s">
        <v>54</v>
      </c>
    </row>
    <row r="60" spans="1:17" x14ac:dyDescent="0.2">
      <c r="A60" s="6">
        <f t="shared" si="8"/>
        <v>391.99543598174995</v>
      </c>
      <c r="B60" s="5" t="s">
        <v>66</v>
      </c>
      <c r="C60">
        <f t="shared" ref="C60:C106" si="10">ROUND(SUM(69+12*LOG(A60/440,2)),0)</f>
        <v>67</v>
      </c>
      <c r="F60" s="5" t="s">
        <v>134</v>
      </c>
      <c r="G60">
        <f t="shared" si="9"/>
        <v>23</v>
      </c>
      <c r="H60" s="6">
        <f t="shared" ref="H60:H104" si="11">H59*2^(1/12)</f>
        <v>30.867706328507758</v>
      </c>
      <c r="I60" s="5" t="s">
        <v>134</v>
      </c>
      <c r="M60" s="5" t="s">
        <v>55</v>
      </c>
      <c r="N60">
        <f t="shared" si="5"/>
        <v>56</v>
      </c>
      <c r="O60" s="7">
        <f t="shared" si="2"/>
        <v>207.65234878997242</v>
      </c>
      <c r="P60" s="5" t="s">
        <v>55</v>
      </c>
    </row>
    <row r="61" spans="1:17" x14ac:dyDescent="0.2">
      <c r="A61" s="6">
        <f t="shared" si="8"/>
        <v>369.99442271163502</v>
      </c>
      <c r="B61" s="5" t="s">
        <v>65</v>
      </c>
      <c r="C61">
        <f t="shared" si="10"/>
        <v>66</v>
      </c>
      <c r="F61" s="5" t="s">
        <v>133</v>
      </c>
      <c r="G61">
        <f t="shared" si="9"/>
        <v>24</v>
      </c>
      <c r="H61" s="6">
        <f t="shared" si="11"/>
        <v>32.703195662574835</v>
      </c>
      <c r="I61" s="5" t="s">
        <v>133</v>
      </c>
      <c r="M61" s="5" t="s">
        <v>56</v>
      </c>
      <c r="N61">
        <f t="shared" si="5"/>
        <v>57</v>
      </c>
      <c r="O61" s="7">
        <f t="shared" si="2"/>
        <v>219.99999999999986</v>
      </c>
      <c r="P61" s="5" t="s">
        <v>56</v>
      </c>
    </row>
    <row r="62" spans="1:17" x14ac:dyDescent="0.2">
      <c r="A62" s="6">
        <f t="shared" si="8"/>
        <v>349.22823143300445</v>
      </c>
      <c r="B62" s="5" t="s">
        <v>64</v>
      </c>
      <c r="C62">
        <f t="shared" si="10"/>
        <v>65</v>
      </c>
      <c r="F62" s="5" t="s">
        <v>132</v>
      </c>
      <c r="G62">
        <f t="shared" si="9"/>
        <v>25</v>
      </c>
      <c r="H62" s="6">
        <f t="shared" si="11"/>
        <v>34.647828872109017</v>
      </c>
      <c r="I62" s="5" t="s">
        <v>132</v>
      </c>
      <c r="M62" s="5" t="s">
        <v>57</v>
      </c>
      <c r="N62">
        <f t="shared" si="5"/>
        <v>58</v>
      </c>
      <c r="O62" s="7">
        <f t="shared" si="2"/>
        <v>233.08188075904482</v>
      </c>
      <c r="P62" s="5" t="s">
        <v>57</v>
      </c>
    </row>
    <row r="63" spans="1:17" x14ac:dyDescent="0.2">
      <c r="A63" s="6">
        <f t="shared" si="8"/>
        <v>329.62755691287043</v>
      </c>
      <c r="B63" s="5" t="s">
        <v>63</v>
      </c>
      <c r="C63">
        <f t="shared" si="10"/>
        <v>64</v>
      </c>
      <c r="F63" s="5" t="s">
        <v>131</v>
      </c>
      <c r="G63">
        <f t="shared" si="9"/>
        <v>26</v>
      </c>
      <c r="H63" s="6">
        <f t="shared" si="11"/>
        <v>36.708095989675954</v>
      </c>
      <c r="I63" s="5" t="s">
        <v>131</v>
      </c>
      <c r="M63" s="5" t="s">
        <v>58</v>
      </c>
      <c r="N63">
        <f t="shared" si="5"/>
        <v>59</v>
      </c>
      <c r="O63" s="7">
        <f t="shared" si="2"/>
        <v>246.94165062806192</v>
      </c>
      <c r="P63" s="5" t="s">
        <v>58</v>
      </c>
    </row>
    <row r="64" spans="1:17" x14ac:dyDescent="0.2">
      <c r="A64" s="6">
        <f t="shared" si="8"/>
        <v>311.12698372208138</v>
      </c>
      <c r="B64" s="5" t="s">
        <v>62</v>
      </c>
      <c r="C64">
        <f t="shared" si="10"/>
        <v>63</v>
      </c>
      <c r="F64" s="5" t="s">
        <v>130</v>
      </c>
      <c r="G64">
        <f t="shared" si="9"/>
        <v>27</v>
      </c>
      <c r="H64" s="6">
        <f t="shared" si="11"/>
        <v>38.890872965260122</v>
      </c>
      <c r="I64" s="5" t="s">
        <v>130</v>
      </c>
      <c r="L64" t="s">
        <v>235</v>
      </c>
      <c r="M64" s="5" t="s">
        <v>59</v>
      </c>
      <c r="N64">
        <f t="shared" si="5"/>
        <v>60</v>
      </c>
      <c r="O64" s="7">
        <f t="shared" si="2"/>
        <v>261.62556530059851</v>
      </c>
      <c r="P64" s="5" t="s">
        <v>59</v>
      </c>
      <c r="Q64" t="s">
        <v>235</v>
      </c>
    </row>
    <row r="65" spans="1:17" x14ac:dyDescent="0.2">
      <c r="A65" s="6">
        <f t="shared" si="8"/>
        <v>293.66476791740797</v>
      </c>
      <c r="B65" s="5" t="s">
        <v>61</v>
      </c>
      <c r="C65">
        <f t="shared" si="10"/>
        <v>62</v>
      </c>
      <c r="F65" s="5" t="s">
        <v>129</v>
      </c>
      <c r="G65">
        <f t="shared" si="9"/>
        <v>28</v>
      </c>
      <c r="H65" s="6">
        <f t="shared" si="11"/>
        <v>41.203444614108754</v>
      </c>
      <c r="I65" s="5" t="s">
        <v>129</v>
      </c>
      <c r="M65" s="5" t="s">
        <v>60</v>
      </c>
      <c r="N65">
        <f t="shared" si="5"/>
        <v>61</v>
      </c>
      <c r="O65" s="7">
        <f t="shared" si="2"/>
        <v>277.18263097687196</v>
      </c>
      <c r="P65" s="5" t="s">
        <v>60</v>
      </c>
    </row>
    <row r="66" spans="1:17" x14ac:dyDescent="0.2">
      <c r="A66" s="6">
        <f t="shared" si="8"/>
        <v>277.18263097687247</v>
      </c>
      <c r="B66" s="5" t="s">
        <v>60</v>
      </c>
      <c r="C66">
        <f t="shared" si="10"/>
        <v>61</v>
      </c>
      <c r="F66" s="5" t="s">
        <v>128</v>
      </c>
      <c r="G66">
        <f t="shared" si="9"/>
        <v>29</v>
      </c>
      <c r="H66" s="6">
        <f t="shared" si="11"/>
        <v>43.6535289291255</v>
      </c>
      <c r="I66" s="5" t="s">
        <v>128</v>
      </c>
      <c r="M66" s="5" t="s">
        <v>61</v>
      </c>
      <c r="N66">
        <f t="shared" si="5"/>
        <v>62</v>
      </c>
      <c r="O66" s="7">
        <f t="shared" si="2"/>
        <v>293.66476791740746</v>
      </c>
      <c r="P66" s="5" t="s">
        <v>61</v>
      </c>
    </row>
    <row r="67" spans="1:17" x14ac:dyDescent="0.2">
      <c r="A67" s="6">
        <f t="shared" si="8"/>
        <v>261.62556530059896</v>
      </c>
      <c r="B67" s="5" t="s">
        <v>59</v>
      </c>
      <c r="C67">
        <f t="shared" si="10"/>
        <v>60</v>
      </c>
      <c r="D67" t="s">
        <v>158</v>
      </c>
      <c r="F67" s="5" t="s">
        <v>127</v>
      </c>
      <c r="G67">
        <f t="shared" si="9"/>
        <v>30</v>
      </c>
      <c r="H67" s="6">
        <f t="shared" si="11"/>
        <v>46.249302838954314</v>
      </c>
      <c r="I67" s="5" t="s">
        <v>127</v>
      </c>
      <c r="M67" s="5" t="s">
        <v>62</v>
      </c>
      <c r="N67">
        <f t="shared" si="5"/>
        <v>63</v>
      </c>
      <c r="O67" s="7">
        <f t="shared" si="2"/>
        <v>311.12698372208081</v>
      </c>
      <c r="P67" s="5" t="s">
        <v>62</v>
      </c>
    </row>
    <row r="68" spans="1:17" x14ac:dyDescent="0.2">
      <c r="A68" s="6">
        <f t="shared" si="8"/>
        <v>246.94165062806238</v>
      </c>
      <c r="B68" s="5" t="s">
        <v>58</v>
      </c>
      <c r="C68">
        <f t="shared" si="10"/>
        <v>59</v>
      </c>
      <c r="F68" s="5" t="s">
        <v>126</v>
      </c>
      <c r="G68">
        <f t="shared" si="9"/>
        <v>31</v>
      </c>
      <c r="H68" s="6">
        <f t="shared" si="11"/>
        <v>48.99942949771868</v>
      </c>
      <c r="I68" s="5" t="s">
        <v>126</v>
      </c>
      <c r="M68" s="5" t="s">
        <v>63</v>
      </c>
      <c r="N68">
        <f t="shared" si="5"/>
        <v>64</v>
      </c>
      <c r="O68" s="7">
        <f>O69/2^(1/12)</f>
        <v>329.62755691286986</v>
      </c>
      <c r="P68" s="5" t="s">
        <v>63</v>
      </c>
    </row>
    <row r="69" spans="1:17" x14ac:dyDescent="0.2">
      <c r="A69" s="6">
        <f t="shared" si="8"/>
        <v>233.08188075904525</v>
      </c>
      <c r="B69" s="5" t="s">
        <v>57</v>
      </c>
      <c r="C69">
        <f t="shared" si="10"/>
        <v>58</v>
      </c>
      <c r="F69" s="5" t="s">
        <v>125</v>
      </c>
      <c r="G69">
        <f t="shared" si="9"/>
        <v>32</v>
      </c>
      <c r="H69" s="6">
        <f t="shared" si="11"/>
        <v>51.913087197493162</v>
      </c>
      <c r="I69" s="5" t="s">
        <v>125</v>
      </c>
      <c r="M69" s="5" t="s">
        <v>64</v>
      </c>
      <c r="N69">
        <f t="shared" si="5"/>
        <v>65</v>
      </c>
      <c r="O69" s="7">
        <f>O70/2^(1/12)</f>
        <v>349.22823143300383</v>
      </c>
      <c r="P69" s="5" t="s">
        <v>64</v>
      </c>
    </row>
    <row r="70" spans="1:17" x14ac:dyDescent="0.2">
      <c r="A70" s="6">
        <f t="shared" si="8"/>
        <v>220.00000000000026</v>
      </c>
      <c r="B70" s="5" t="s">
        <v>56</v>
      </c>
      <c r="C70">
        <f t="shared" si="10"/>
        <v>57</v>
      </c>
      <c r="F70" s="5" t="s">
        <v>124</v>
      </c>
      <c r="G70">
        <f t="shared" si="9"/>
        <v>33</v>
      </c>
      <c r="H70" s="6">
        <f t="shared" si="11"/>
        <v>55.000000000000021</v>
      </c>
      <c r="I70" s="5" t="s">
        <v>124</v>
      </c>
      <c r="M70" s="5" t="s">
        <v>65</v>
      </c>
      <c r="N70">
        <f t="shared" si="5"/>
        <v>66</v>
      </c>
      <c r="O70" s="7">
        <f>O71/2^(1/12)</f>
        <v>369.99442271163434</v>
      </c>
      <c r="P70" s="5" t="s">
        <v>65</v>
      </c>
    </row>
    <row r="71" spans="1:17" x14ac:dyDescent="0.2">
      <c r="A71" s="6">
        <f t="shared" si="8"/>
        <v>207.65234878997279</v>
      </c>
      <c r="B71" s="5" t="s">
        <v>55</v>
      </c>
      <c r="C71">
        <f t="shared" si="10"/>
        <v>56</v>
      </c>
      <c r="F71" s="5" t="s">
        <v>123</v>
      </c>
      <c r="G71">
        <f t="shared" si="9"/>
        <v>34</v>
      </c>
      <c r="H71" s="6">
        <f t="shared" si="11"/>
        <v>58.270470189761262</v>
      </c>
      <c r="I71" s="5" t="s">
        <v>123</v>
      </c>
      <c r="M71" s="5" t="s">
        <v>66</v>
      </c>
      <c r="N71">
        <f t="shared" si="5"/>
        <v>67</v>
      </c>
      <c r="O71" s="7">
        <f>O72/2^(1/12)</f>
        <v>391.99543598174927</v>
      </c>
      <c r="P71" s="5" t="s">
        <v>66</v>
      </c>
    </row>
    <row r="72" spans="1:17" x14ac:dyDescent="0.2">
      <c r="A72" s="6">
        <f t="shared" si="8"/>
        <v>195.99771799087486</v>
      </c>
      <c r="B72" s="5" t="s">
        <v>54</v>
      </c>
      <c r="C72">
        <f t="shared" si="10"/>
        <v>55</v>
      </c>
      <c r="F72" s="5" t="s">
        <v>34</v>
      </c>
      <c r="G72">
        <f t="shared" si="9"/>
        <v>35</v>
      </c>
      <c r="H72" s="6">
        <f t="shared" si="11"/>
        <v>61.735412657015537</v>
      </c>
      <c r="I72" s="5" t="s">
        <v>34</v>
      </c>
      <c r="M72" s="5" t="s">
        <v>161</v>
      </c>
      <c r="N72">
        <f t="shared" si="5"/>
        <v>68</v>
      </c>
      <c r="O72" s="7">
        <f>O73/2^(1/12)</f>
        <v>415.30469757994513</v>
      </c>
      <c r="P72" s="5" t="s">
        <v>161</v>
      </c>
    </row>
    <row r="73" spans="1:17" x14ac:dyDescent="0.2">
      <c r="A73" s="6">
        <f t="shared" si="8"/>
        <v>184.9972113558174</v>
      </c>
      <c r="B73" s="5" t="s">
        <v>53</v>
      </c>
      <c r="C73">
        <f t="shared" si="10"/>
        <v>54</v>
      </c>
      <c r="F73" s="5" t="s">
        <v>35</v>
      </c>
      <c r="G73">
        <f t="shared" si="9"/>
        <v>36</v>
      </c>
      <c r="H73" s="6">
        <f t="shared" si="11"/>
        <v>65.406391325149684</v>
      </c>
      <c r="I73" s="5" t="s">
        <v>35</v>
      </c>
      <c r="L73" s="1" t="s">
        <v>236</v>
      </c>
      <c r="M73" s="5" t="s">
        <v>183</v>
      </c>
      <c r="N73">
        <f t="shared" si="5"/>
        <v>69</v>
      </c>
      <c r="O73" s="8">
        <v>440</v>
      </c>
      <c r="P73" s="5" t="s">
        <v>183</v>
      </c>
      <c r="Q73" s="1" t="s">
        <v>236</v>
      </c>
    </row>
    <row r="74" spans="1:17" x14ac:dyDescent="0.2">
      <c r="A74" s="6">
        <f t="shared" si="8"/>
        <v>174.61411571650211</v>
      </c>
      <c r="B74" s="5" t="s">
        <v>52</v>
      </c>
      <c r="C74">
        <f t="shared" si="10"/>
        <v>53</v>
      </c>
      <c r="F74" s="5" t="s">
        <v>36</v>
      </c>
      <c r="G74">
        <f t="shared" si="9"/>
        <v>37</v>
      </c>
      <c r="H74" s="6">
        <f t="shared" si="11"/>
        <v>69.295657744218047</v>
      </c>
      <c r="I74" s="5" t="s">
        <v>36</v>
      </c>
      <c r="M74" s="5" t="s">
        <v>184</v>
      </c>
      <c r="N74">
        <f t="shared" si="5"/>
        <v>70</v>
      </c>
      <c r="O74" s="7">
        <f t="shared" ref="O74:O123" si="12">O73*2^(1/12)</f>
        <v>466.16376151808993</v>
      </c>
      <c r="P74" s="5" t="s">
        <v>184</v>
      </c>
    </row>
    <row r="75" spans="1:17" x14ac:dyDescent="0.2">
      <c r="A75" s="6">
        <f t="shared" si="8"/>
        <v>164.81377845643513</v>
      </c>
      <c r="B75" s="5" t="s">
        <v>51</v>
      </c>
      <c r="C75">
        <f t="shared" si="10"/>
        <v>52</v>
      </c>
      <c r="F75" s="5" t="s">
        <v>37</v>
      </c>
      <c r="G75">
        <f t="shared" si="9"/>
        <v>38</v>
      </c>
      <c r="H75" s="6">
        <f t="shared" si="11"/>
        <v>73.416191979351922</v>
      </c>
      <c r="I75" s="5" t="s">
        <v>37</v>
      </c>
      <c r="M75" s="5" t="s">
        <v>185</v>
      </c>
      <c r="N75">
        <f t="shared" si="5"/>
        <v>71</v>
      </c>
      <c r="O75" s="7">
        <f t="shared" si="12"/>
        <v>493.88330125612413</v>
      </c>
      <c r="P75" s="5" t="s">
        <v>185</v>
      </c>
    </row>
    <row r="76" spans="1:17" x14ac:dyDescent="0.2">
      <c r="A76" s="6">
        <f t="shared" si="8"/>
        <v>155.5634918610406</v>
      </c>
      <c r="B76" s="5" t="s">
        <v>50</v>
      </c>
      <c r="C76">
        <f t="shared" si="10"/>
        <v>51</v>
      </c>
      <c r="F76" s="5" t="s">
        <v>38</v>
      </c>
      <c r="G76">
        <f t="shared" si="9"/>
        <v>39</v>
      </c>
      <c r="H76" s="6">
        <f t="shared" si="11"/>
        <v>77.781745930520259</v>
      </c>
      <c r="I76" s="5" t="s">
        <v>38</v>
      </c>
      <c r="M76" s="5" t="s">
        <v>186</v>
      </c>
      <c r="N76">
        <f t="shared" si="5"/>
        <v>72</v>
      </c>
      <c r="O76" s="7">
        <f t="shared" si="12"/>
        <v>523.25113060119736</v>
      </c>
      <c r="P76" s="5" t="s">
        <v>186</v>
      </c>
    </row>
    <row r="77" spans="1:17" x14ac:dyDescent="0.2">
      <c r="A77" s="6">
        <f t="shared" si="8"/>
        <v>146.8323839587039</v>
      </c>
      <c r="B77" s="5" t="s">
        <v>49</v>
      </c>
      <c r="C77">
        <f t="shared" si="10"/>
        <v>50</v>
      </c>
      <c r="F77" s="5" t="s">
        <v>39</v>
      </c>
      <c r="G77">
        <f t="shared" si="9"/>
        <v>40</v>
      </c>
      <c r="H77" s="6">
        <f t="shared" si="11"/>
        <v>82.406889228217523</v>
      </c>
      <c r="I77" s="5" t="s">
        <v>39</v>
      </c>
      <c r="M77" s="5" t="s">
        <v>187</v>
      </c>
      <c r="N77">
        <f t="shared" si="5"/>
        <v>73</v>
      </c>
      <c r="O77" s="7">
        <f t="shared" si="12"/>
        <v>554.36526195374427</v>
      </c>
      <c r="P77" s="5" t="s">
        <v>187</v>
      </c>
    </row>
    <row r="78" spans="1:17" x14ac:dyDescent="0.2">
      <c r="A78" s="6">
        <f t="shared" si="8"/>
        <v>138.59131548843615</v>
      </c>
      <c r="B78" s="5" t="s">
        <v>48</v>
      </c>
      <c r="C78">
        <f t="shared" si="10"/>
        <v>49</v>
      </c>
      <c r="F78" s="5" t="s">
        <v>40</v>
      </c>
      <c r="G78">
        <f t="shared" si="9"/>
        <v>41</v>
      </c>
      <c r="H78" s="6">
        <f t="shared" si="11"/>
        <v>87.307057858251014</v>
      </c>
      <c r="I78" s="5" t="s">
        <v>40</v>
      </c>
      <c r="M78" s="5" t="s">
        <v>188</v>
      </c>
      <c r="N78">
        <f t="shared" si="5"/>
        <v>74</v>
      </c>
      <c r="O78" s="7">
        <f t="shared" si="12"/>
        <v>587.32953583481526</v>
      </c>
      <c r="P78" s="5" t="s">
        <v>188</v>
      </c>
    </row>
    <row r="79" spans="1:17" x14ac:dyDescent="0.2">
      <c r="A79" s="6">
        <f t="shared" si="8"/>
        <v>130.8127826502994</v>
      </c>
      <c r="B79" s="5" t="s">
        <v>47</v>
      </c>
      <c r="C79">
        <f t="shared" si="10"/>
        <v>48</v>
      </c>
      <c r="F79" s="5" t="s">
        <v>41</v>
      </c>
      <c r="G79">
        <f t="shared" si="9"/>
        <v>42</v>
      </c>
      <c r="H79" s="6">
        <f t="shared" si="11"/>
        <v>92.498605677908643</v>
      </c>
      <c r="I79" s="5" t="s">
        <v>41</v>
      </c>
      <c r="M79" s="5" t="s">
        <v>189</v>
      </c>
      <c r="N79">
        <f t="shared" si="5"/>
        <v>75</v>
      </c>
      <c r="O79" s="7">
        <f t="shared" si="12"/>
        <v>622.25396744416196</v>
      </c>
      <c r="P79" s="5" t="s">
        <v>189</v>
      </c>
    </row>
    <row r="80" spans="1:17" x14ac:dyDescent="0.2">
      <c r="A80" s="6">
        <f t="shared" si="8"/>
        <v>123.4708253140311</v>
      </c>
      <c r="B80" s="5" t="s">
        <v>46</v>
      </c>
      <c r="C80">
        <f t="shared" si="10"/>
        <v>47</v>
      </c>
      <c r="F80" s="5" t="s">
        <v>42</v>
      </c>
      <c r="G80">
        <f t="shared" si="9"/>
        <v>43</v>
      </c>
      <c r="H80" s="6">
        <f t="shared" si="11"/>
        <v>97.998858995437374</v>
      </c>
      <c r="I80" s="5" t="s">
        <v>42</v>
      </c>
      <c r="M80" s="5" t="s">
        <v>190</v>
      </c>
      <c r="N80">
        <f t="shared" si="5"/>
        <v>76</v>
      </c>
      <c r="O80" s="7">
        <f t="shared" si="12"/>
        <v>659.25511382574007</v>
      </c>
      <c r="P80" s="5" t="s">
        <v>190</v>
      </c>
    </row>
    <row r="81" spans="1:16" x14ac:dyDescent="0.2">
      <c r="A81" s="6">
        <f t="shared" si="8"/>
        <v>116.54094037952254</v>
      </c>
      <c r="B81" s="5" t="s">
        <v>45</v>
      </c>
      <c r="C81">
        <f t="shared" si="10"/>
        <v>46</v>
      </c>
      <c r="F81" s="5" t="s">
        <v>43</v>
      </c>
      <c r="G81">
        <f t="shared" si="9"/>
        <v>44</v>
      </c>
      <c r="H81" s="6">
        <f t="shared" si="11"/>
        <v>103.82617439498634</v>
      </c>
      <c r="I81" s="5" t="s">
        <v>43</v>
      </c>
      <c r="M81" s="5" t="s">
        <v>191</v>
      </c>
      <c r="N81">
        <f t="shared" si="5"/>
        <v>77</v>
      </c>
      <c r="O81" s="7">
        <f t="shared" si="12"/>
        <v>698.456462866008</v>
      </c>
      <c r="P81" s="5" t="s">
        <v>191</v>
      </c>
    </row>
    <row r="82" spans="1:16" x14ac:dyDescent="0.2">
      <c r="A82" s="6">
        <f t="shared" si="8"/>
        <v>110.00000000000006</v>
      </c>
      <c r="B82" s="5" t="s">
        <v>44</v>
      </c>
      <c r="C82">
        <f t="shared" si="10"/>
        <v>45</v>
      </c>
      <c r="F82" s="5" t="s">
        <v>44</v>
      </c>
      <c r="G82">
        <f t="shared" si="9"/>
        <v>45</v>
      </c>
      <c r="H82" s="6">
        <f t="shared" si="11"/>
        <v>110.00000000000006</v>
      </c>
      <c r="I82" s="5" t="s">
        <v>44</v>
      </c>
      <c r="M82" s="5" t="s">
        <v>192</v>
      </c>
      <c r="N82">
        <f t="shared" si="5"/>
        <v>78</v>
      </c>
      <c r="O82" s="7">
        <f t="shared" si="12"/>
        <v>739.98884542326903</v>
      </c>
      <c r="P82" s="5" t="s">
        <v>192</v>
      </c>
    </row>
    <row r="83" spans="1:16" x14ac:dyDescent="0.2">
      <c r="A83" s="6">
        <f t="shared" si="8"/>
        <v>103.82617439498634</v>
      </c>
      <c r="B83" s="5" t="s">
        <v>43</v>
      </c>
      <c r="C83">
        <f t="shared" si="10"/>
        <v>44</v>
      </c>
      <c r="F83" s="5" t="s">
        <v>45</v>
      </c>
      <c r="G83">
        <f t="shared" si="9"/>
        <v>46</v>
      </c>
      <c r="H83" s="6">
        <f t="shared" si="11"/>
        <v>116.54094037952254</v>
      </c>
      <c r="I83" s="5" t="s">
        <v>45</v>
      </c>
      <c r="M83" s="5" t="s">
        <v>193</v>
      </c>
      <c r="N83">
        <f t="shared" si="5"/>
        <v>79</v>
      </c>
      <c r="O83" s="7">
        <f t="shared" si="12"/>
        <v>783.99087196349888</v>
      </c>
      <c r="P83" s="5" t="s">
        <v>193</v>
      </c>
    </row>
    <row r="84" spans="1:16" x14ac:dyDescent="0.2">
      <c r="A84" s="6">
        <f t="shared" si="8"/>
        <v>97.998858995437374</v>
      </c>
      <c r="B84" s="5" t="s">
        <v>42</v>
      </c>
      <c r="C84">
        <f t="shared" si="10"/>
        <v>43</v>
      </c>
      <c r="F84" s="5" t="s">
        <v>46</v>
      </c>
      <c r="G84">
        <f t="shared" si="9"/>
        <v>47</v>
      </c>
      <c r="H84" s="6">
        <f t="shared" si="11"/>
        <v>123.4708253140311</v>
      </c>
      <c r="I84" s="5" t="s">
        <v>46</v>
      </c>
      <c r="M84" s="5" t="s">
        <v>194</v>
      </c>
      <c r="N84">
        <f t="shared" si="5"/>
        <v>80</v>
      </c>
      <c r="O84" s="7">
        <f t="shared" si="12"/>
        <v>830.6093951598906</v>
      </c>
      <c r="P84" s="5" t="s">
        <v>194</v>
      </c>
    </row>
    <row r="85" spans="1:16" x14ac:dyDescent="0.2">
      <c r="A85" s="6">
        <f t="shared" si="8"/>
        <v>92.498605677908643</v>
      </c>
      <c r="B85" s="5" t="s">
        <v>41</v>
      </c>
      <c r="C85">
        <f t="shared" si="10"/>
        <v>42</v>
      </c>
      <c r="F85" s="5" t="s">
        <v>47</v>
      </c>
      <c r="G85">
        <f t="shared" si="9"/>
        <v>48</v>
      </c>
      <c r="H85" s="6">
        <f t="shared" si="11"/>
        <v>130.8127826502994</v>
      </c>
      <c r="I85" s="5" t="s">
        <v>47</v>
      </c>
      <c r="M85" s="5" t="s">
        <v>195</v>
      </c>
      <c r="N85">
        <f t="shared" si="5"/>
        <v>81</v>
      </c>
      <c r="O85" s="7">
        <f t="shared" si="12"/>
        <v>880.00000000000034</v>
      </c>
      <c r="P85" s="5" t="s">
        <v>195</v>
      </c>
    </row>
    <row r="86" spans="1:16" x14ac:dyDescent="0.2">
      <c r="A86" s="6">
        <f t="shared" si="8"/>
        <v>87.307057858251014</v>
      </c>
      <c r="B86" s="5" t="s">
        <v>40</v>
      </c>
      <c r="C86">
        <f t="shared" si="10"/>
        <v>41</v>
      </c>
      <c r="F86" s="5" t="s">
        <v>48</v>
      </c>
      <c r="G86">
        <f t="shared" si="9"/>
        <v>49</v>
      </c>
      <c r="H86" s="6">
        <f t="shared" si="11"/>
        <v>138.59131548843615</v>
      </c>
      <c r="I86" s="5" t="s">
        <v>48</v>
      </c>
      <c r="M86" s="5" t="s">
        <v>196</v>
      </c>
      <c r="N86">
        <f t="shared" si="5"/>
        <v>82</v>
      </c>
      <c r="O86" s="7">
        <f t="shared" si="12"/>
        <v>932.3275230361802</v>
      </c>
      <c r="P86" s="5" t="s">
        <v>196</v>
      </c>
    </row>
    <row r="87" spans="1:16" x14ac:dyDescent="0.2">
      <c r="A87" s="6">
        <f t="shared" si="8"/>
        <v>82.406889228217523</v>
      </c>
      <c r="B87" s="5" t="s">
        <v>39</v>
      </c>
      <c r="C87">
        <f t="shared" si="10"/>
        <v>40</v>
      </c>
      <c r="F87" s="5" t="s">
        <v>49</v>
      </c>
      <c r="G87">
        <f t="shared" si="9"/>
        <v>50</v>
      </c>
      <c r="H87" s="6">
        <f t="shared" si="11"/>
        <v>146.8323839587039</v>
      </c>
      <c r="I87" s="5" t="s">
        <v>49</v>
      </c>
      <c r="M87" s="5" t="s">
        <v>219</v>
      </c>
      <c r="N87">
        <f t="shared" si="5"/>
        <v>83</v>
      </c>
      <c r="O87" s="7">
        <f t="shared" si="12"/>
        <v>987.7666025122486</v>
      </c>
      <c r="P87" s="5" t="s">
        <v>219</v>
      </c>
    </row>
    <row r="88" spans="1:16" x14ac:dyDescent="0.2">
      <c r="A88" s="6">
        <f t="shared" si="8"/>
        <v>77.781745930520259</v>
      </c>
      <c r="B88" s="5" t="s">
        <v>38</v>
      </c>
      <c r="C88">
        <f t="shared" si="10"/>
        <v>39</v>
      </c>
      <c r="F88" s="5" t="s">
        <v>50</v>
      </c>
      <c r="G88">
        <f t="shared" si="9"/>
        <v>51</v>
      </c>
      <c r="H88" s="6">
        <f t="shared" si="11"/>
        <v>155.5634918610406</v>
      </c>
      <c r="I88" s="5" t="s">
        <v>50</v>
      </c>
      <c r="M88" s="5" t="s">
        <v>197</v>
      </c>
      <c r="N88">
        <f t="shared" si="5"/>
        <v>84</v>
      </c>
      <c r="O88" s="7">
        <f t="shared" si="12"/>
        <v>1046.5022612023949</v>
      </c>
      <c r="P88" s="5" t="s">
        <v>197</v>
      </c>
    </row>
    <row r="89" spans="1:16" x14ac:dyDescent="0.2">
      <c r="A89" s="6">
        <f t="shared" si="8"/>
        <v>73.416191979351922</v>
      </c>
      <c r="B89" s="5" t="s">
        <v>37</v>
      </c>
      <c r="C89">
        <f t="shared" si="10"/>
        <v>38</v>
      </c>
      <c r="F89" s="5" t="s">
        <v>51</v>
      </c>
      <c r="G89">
        <f t="shared" si="9"/>
        <v>52</v>
      </c>
      <c r="H89" s="6">
        <f t="shared" si="11"/>
        <v>164.81377845643513</v>
      </c>
      <c r="I89" s="5" t="s">
        <v>51</v>
      </c>
      <c r="M89" s="5" t="s">
        <v>198</v>
      </c>
      <c r="N89">
        <f t="shared" ref="N89:N123" si="13">ROUND(SUM(69+12*LOG(O89/440,2)),0)</f>
        <v>85</v>
      </c>
      <c r="O89" s="7">
        <f t="shared" si="12"/>
        <v>1108.7305239074888</v>
      </c>
      <c r="P89" s="5" t="s">
        <v>198</v>
      </c>
    </row>
    <row r="90" spans="1:16" x14ac:dyDescent="0.2">
      <c r="A90" s="6">
        <f t="shared" si="8"/>
        <v>69.295657744218047</v>
      </c>
      <c r="B90" s="5" t="s">
        <v>36</v>
      </c>
      <c r="C90">
        <f t="shared" si="10"/>
        <v>37</v>
      </c>
      <c r="F90" s="5" t="s">
        <v>52</v>
      </c>
      <c r="G90">
        <f t="shared" si="9"/>
        <v>53</v>
      </c>
      <c r="H90" s="6">
        <f t="shared" si="11"/>
        <v>174.61411571650211</v>
      </c>
      <c r="I90" s="5" t="s">
        <v>52</v>
      </c>
      <c r="M90" s="5" t="s">
        <v>199</v>
      </c>
      <c r="N90">
        <f t="shared" si="13"/>
        <v>86</v>
      </c>
      <c r="O90" s="7">
        <f t="shared" si="12"/>
        <v>1174.6590716696307</v>
      </c>
      <c r="P90" s="5" t="s">
        <v>199</v>
      </c>
    </row>
    <row r="91" spans="1:16" x14ac:dyDescent="0.2">
      <c r="A91" s="6">
        <f t="shared" si="8"/>
        <v>65.406391325149684</v>
      </c>
      <c r="B91" s="5" t="s">
        <v>35</v>
      </c>
      <c r="C91">
        <f t="shared" si="10"/>
        <v>36</v>
      </c>
      <c r="F91" s="5" t="s">
        <v>53</v>
      </c>
      <c r="G91">
        <f t="shared" si="9"/>
        <v>54</v>
      </c>
      <c r="H91" s="6">
        <f t="shared" si="11"/>
        <v>184.9972113558174</v>
      </c>
      <c r="I91" s="5" t="s">
        <v>53</v>
      </c>
      <c r="M91" s="5" t="s">
        <v>200</v>
      </c>
      <c r="N91">
        <f t="shared" si="13"/>
        <v>87</v>
      </c>
      <c r="O91" s="7">
        <f t="shared" si="12"/>
        <v>1244.5079348883241</v>
      </c>
      <c r="P91" s="5" t="s">
        <v>200</v>
      </c>
    </row>
    <row r="92" spans="1:16" x14ac:dyDescent="0.2">
      <c r="A92" s="6">
        <f t="shared" si="8"/>
        <v>61.735412657015537</v>
      </c>
      <c r="B92" s="5" t="s">
        <v>34</v>
      </c>
      <c r="C92">
        <f t="shared" si="10"/>
        <v>35</v>
      </c>
      <c r="F92" s="5" t="s">
        <v>54</v>
      </c>
      <c r="G92">
        <f t="shared" si="9"/>
        <v>55</v>
      </c>
      <c r="H92" s="6">
        <f t="shared" si="11"/>
        <v>195.99771799087486</v>
      </c>
      <c r="I92" s="5" t="s">
        <v>54</v>
      </c>
      <c r="M92" s="5" t="s">
        <v>201</v>
      </c>
      <c r="N92">
        <f t="shared" si="13"/>
        <v>88</v>
      </c>
      <c r="O92" s="7">
        <f t="shared" si="12"/>
        <v>1318.5102276514804</v>
      </c>
      <c r="P92" s="5" t="s">
        <v>201</v>
      </c>
    </row>
    <row r="93" spans="1:16" x14ac:dyDescent="0.2">
      <c r="A93" s="6">
        <f t="shared" si="8"/>
        <v>58.270470189761262</v>
      </c>
      <c r="B93" s="5" t="s">
        <v>123</v>
      </c>
      <c r="C93">
        <f t="shared" si="10"/>
        <v>34</v>
      </c>
      <c r="F93" s="5" t="s">
        <v>55</v>
      </c>
      <c r="G93">
        <f t="shared" si="9"/>
        <v>56</v>
      </c>
      <c r="H93" s="6">
        <f t="shared" si="11"/>
        <v>207.65234878997279</v>
      </c>
      <c r="I93" s="5" t="s">
        <v>55</v>
      </c>
      <c r="M93" s="5" t="s">
        <v>202</v>
      </c>
      <c r="N93">
        <f t="shared" si="13"/>
        <v>89</v>
      </c>
      <c r="O93" s="7">
        <f t="shared" si="12"/>
        <v>1396.9129257320162</v>
      </c>
      <c r="P93" s="5" t="s">
        <v>202</v>
      </c>
    </row>
    <row r="94" spans="1:16" x14ac:dyDescent="0.2">
      <c r="A94" s="6">
        <f t="shared" si="8"/>
        <v>55.000000000000021</v>
      </c>
      <c r="B94" s="5" t="s">
        <v>124</v>
      </c>
      <c r="C94">
        <f t="shared" si="10"/>
        <v>33</v>
      </c>
      <c r="F94" s="5" t="s">
        <v>56</v>
      </c>
      <c r="G94">
        <f t="shared" si="9"/>
        <v>57</v>
      </c>
      <c r="H94" s="6">
        <f t="shared" si="11"/>
        <v>220.00000000000026</v>
      </c>
      <c r="I94" s="5" t="s">
        <v>56</v>
      </c>
      <c r="M94" s="5" t="s">
        <v>203</v>
      </c>
      <c r="N94">
        <f t="shared" si="13"/>
        <v>90</v>
      </c>
      <c r="O94" s="7">
        <f t="shared" si="12"/>
        <v>1479.9776908465383</v>
      </c>
      <c r="P94" s="5" t="s">
        <v>203</v>
      </c>
    </row>
    <row r="95" spans="1:16" x14ac:dyDescent="0.2">
      <c r="A95" s="6">
        <f t="shared" si="8"/>
        <v>51.913087197493162</v>
      </c>
      <c r="B95" s="5" t="s">
        <v>125</v>
      </c>
      <c r="C95">
        <f t="shared" si="10"/>
        <v>32</v>
      </c>
      <c r="F95" s="5" t="s">
        <v>57</v>
      </c>
      <c r="G95">
        <f t="shared" si="9"/>
        <v>58</v>
      </c>
      <c r="H95" s="6">
        <f t="shared" si="11"/>
        <v>233.08188075904525</v>
      </c>
      <c r="I95" s="5" t="s">
        <v>57</v>
      </c>
      <c r="M95" s="5" t="s">
        <v>204</v>
      </c>
      <c r="N95">
        <f t="shared" si="13"/>
        <v>91</v>
      </c>
      <c r="O95" s="7">
        <f t="shared" si="12"/>
        <v>1567.981743926998</v>
      </c>
      <c r="P95" s="5" t="s">
        <v>204</v>
      </c>
    </row>
    <row r="96" spans="1:16" x14ac:dyDescent="0.2">
      <c r="A96" s="6">
        <f t="shared" si="8"/>
        <v>48.99942949771868</v>
      </c>
      <c r="B96" s="5" t="s">
        <v>126</v>
      </c>
      <c r="C96">
        <f t="shared" si="10"/>
        <v>31</v>
      </c>
      <c r="F96" s="5" t="s">
        <v>58</v>
      </c>
      <c r="G96">
        <f t="shared" si="9"/>
        <v>59</v>
      </c>
      <c r="H96" s="6">
        <f t="shared" si="11"/>
        <v>246.94165062806238</v>
      </c>
      <c r="I96" s="5" t="s">
        <v>58</v>
      </c>
      <c r="M96" s="5" t="s">
        <v>205</v>
      </c>
      <c r="N96">
        <f t="shared" si="13"/>
        <v>92</v>
      </c>
      <c r="O96" s="7">
        <f t="shared" si="12"/>
        <v>1661.2187903197814</v>
      </c>
      <c r="P96" s="5" t="s">
        <v>205</v>
      </c>
    </row>
    <row r="97" spans="1:16" x14ac:dyDescent="0.2">
      <c r="A97" s="6">
        <f t="shared" si="8"/>
        <v>46.249302838954314</v>
      </c>
      <c r="B97" s="5" t="s">
        <v>127</v>
      </c>
      <c r="C97">
        <f t="shared" si="10"/>
        <v>30</v>
      </c>
      <c r="F97" s="5" t="s">
        <v>59</v>
      </c>
      <c r="G97">
        <f t="shared" si="9"/>
        <v>60</v>
      </c>
      <c r="H97" s="6">
        <f t="shared" si="11"/>
        <v>261.62556530059896</v>
      </c>
      <c r="I97" s="5" t="s">
        <v>59</v>
      </c>
      <c r="J97" t="s">
        <v>158</v>
      </c>
      <c r="M97" s="5" t="s">
        <v>206</v>
      </c>
      <c r="N97">
        <f t="shared" si="13"/>
        <v>93</v>
      </c>
      <c r="O97" s="7">
        <f t="shared" si="12"/>
        <v>1760.0000000000009</v>
      </c>
      <c r="P97" s="5" t="s">
        <v>206</v>
      </c>
    </row>
    <row r="98" spans="1:16" x14ac:dyDescent="0.2">
      <c r="A98" s="6">
        <f t="shared" si="8"/>
        <v>43.6535289291255</v>
      </c>
      <c r="B98" s="5" t="s">
        <v>128</v>
      </c>
      <c r="C98">
        <f t="shared" si="10"/>
        <v>29</v>
      </c>
      <c r="F98" s="5" t="s">
        <v>60</v>
      </c>
      <c r="G98">
        <f t="shared" si="9"/>
        <v>61</v>
      </c>
      <c r="H98" s="6">
        <f t="shared" si="11"/>
        <v>277.18263097687247</v>
      </c>
      <c r="I98" s="5" t="s">
        <v>60</v>
      </c>
      <c r="M98" s="5" t="s">
        <v>207</v>
      </c>
      <c r="N98">
        <f t="shared" si="13"/>
        <v>94</v>
      </c>
      <c r="O98" s="7">
        <f t="shared" si="12"/>
        <v>1864.6550460723606</v>
      </c>
      <c r="P98" s="5" t="s">
        <v>207</v>
      </c>
    </row>
    <row r="99" spans="1:16" x14ac:dyDescent="0.2">
      <c r="A99" s="6">
        <f t="shared" si="8"/>
        <v>41.203444614108754</v>
      </c>
      <c r="B99" s="5" t="s">
        <v>129</v>
      </c>
      <c r="C99">
        <f t="shared" si="10"/>
        <v>28</v>
      </c>
      <c r="F99" s="5" t="s">
        <v>61</v>
      </c>
      <c r="G99">
        <f t="shared" si="9"/>
        <v>62</v>
      </c>
      <c r="H99" s="6">
        <f t="shared" si="11"/>
        <v>293.66476791740797</v>
      </c>
      <c r="I99" s="5" t="s">
        <v>61</v>
      </c>
      <c r="M99" s="5" t="s">
        <v>220</v>
      </c>
      <c r="N99">
        <f t="shared" si="13"/>
        <v>95</v>
      </c>
      <c r="O99" s="7">
        <f t="shared" si="12"/>
        <v>1975.5332050244976</v>
      </c>
      <c r="P99" s="5" t="s">
        <v>220</v>
      </c>
    </row>
    <row r="100" spans="1:16" x14ac:dyDescent="0.2">
      <c r="A100" s="6">
        <f t="shared" si="8"/>
        <v>38.890872965260122</v>
      </c>
      <c r="B100" s="5" t="s">
        <v>130</v>
      </c>
      <c r="C100">
        <f t="shared" si="10"/>
        <v>27</v>
      </c>
      <c r="F100" s="5" t="s">
        <v>62</v>
      </c>
      <c r="G100">
        <f t="shared" si="9"/>
        <v>63</v>
      </c>
      <c r="H100" s="6">
        <f t="shared" si="11"/>
        <v>311.12698372208138</v>
      </c>
      <c r="I100" s="5" t="s">
        <v>62</v>
      </c>
      <c r="M100" s="5" t="s">
        <v>208</v>
      </c>
      <c r="N100">
        <f t="shared" si="13"/>
        <v>96</v>
      </c>
      <c r="O100" s="7">
        <f t="shared" si="12"/>
        <v>2093.0045224047904</v>
      </c>
      <c r="P100" s="5" t="s">
        <v>208</v>
      </c>
    </row>
    <row r="101" spans="1:16" x14ac:dyDescent="0.2">
      <c r="A101" s="6">
        <f t="shared" si="8"/>
        <v>36.708095989675954</v>
      </c>
      <c r="B101" s="5" t="s">
        <v>131</v>
      </c>
      <c r="C101">
        <f t="shared" si="10"/>
        <v>26</v>
      </c>
      <c r="F101" s="5" t="s">
        <v>63</v>
      </c>
      <c r="G101">
        <f t="shared" si="9"/>
        <v>64</v>
      </c>
      <c r="H101" s="6">
        <f t="shared" si="11"/>
        <v>329.62755691287043</v>
      </c>
      <c r="I101" s="5" t="s">
        <v>63</v>
      </c>
      <c r="M101" s="5" t="s">
        <v>209</v>
      </c>
      <c r="N101">
        <f t="shared" si="13"/>
        <v>97</v>
      </c>
      <c r="O101" s="7">
        <f t="shared" si="12"/>
        <v>2217.4610478149784</v>
      </c>
      <c r="P101" s="5" t="s">
        <v>209</v>
      </c>
    </row>
    <row r="102" spans="1:16" x14ac:dyDescent="0.2">
      <c r="A102" s="6">
        <f t="shared" si="8"/>
        <v>34.647828872109017</v>
      </c>
      <c r="B102" s="5" t="s">
        <v>132</v>
      </c>
      <c r="C102">
        <f t="shared" si="10"/>
        <v>25</v>
      </c>
      <c r="F102" s="5" t="s">
        <v>64</v>
      </c>
      <c r="G102">
        <f t="shared" si="9"/>
        <v>65</v>
      </c>
      <c r="H102" s="6">
        <f t="shared" si="11"/>
        <v>349.22823143300445</v>
      </c>
      <c r="I102" s="5" t="s">
        <v>64</v>
      </c>
      <c r="M102" s="5" t="s">
        <v>210</v>
      </c>
      <c r="N102">
        <f t="shared" si="13"/>
        <v>98</v>
      </c>
      <c r="O102" s="7">
        <f t="shared" si="12"/>
        <v>2349.3181433392624</v>
      </c>
      <c r="P102" s="5" t="s">
        <v>210</v>
      </c>
    </row>
    <row r="103" spans="1:16" x14ac:dyDescent="0.2">
      <c r="A103" s="6">
        <f t="shared" si="8"/>
        <v>32.703195662574835</v>
      </c>
      <c r="B103" s="5" t="s">
        <v>133</v>
      </c>
      <c r="C103">
        <f t="shared" si="10"/>
        <v>24</v>
      </c>
      <c r="F103" s="5" t="s">
        <v>65</v>
      </c>
      <c r="G103">
        <f t="shared" si="9"/>
        <v>66</v>
      </c>
      <c r="H103" s="6">
        <f t="shared" si="11"/>
        <v>369.99442271163502</v>
      </c>
      <c r="I103" s="5" t="s">
        <v>65</v>
      </c>
      <c r="M103" s="5" t="s">
        <v>211</v>
      </c>
      <c r="N103">
        <f t="shared" si="13"/>
        <v>99</v>
      </c>
      <c r="O103" s="7">
        <f t="shared" si="12"/>
        <v>2489.0158697766497</v>
      </c>
      <c r="P103" s="5" t="s">
        <v>211</v>
      </c>
    </row>
    <row r="104" spans="1:16" x14ac:dyDescent="0.2">
      <c r="A104" s="6">
        <f t="shared" si="8"/>
        <v>30.867706328507758</v>
      </c>
      <c r="B104" s="5" t="s">
        <v>134</v>
      </c>
      <c r="C104">
        <f t="shared" si="10"/>
        <v>23</v>
      </c>
      <c r="F104" s="5" t="s">
        <v>66</v>
      </c>
      <c r="G104">
        <f t="shared" si="9"/>
        <v>67</v>
      </c>
      <c r="H104" s="6">
        <f t="shared" si="11"/>
        <v>391.99543598174995</v>
      </c>
      <c r="I104" s="5" t="s">
        <v>66</v>
      </c>
      <c r="M104" s="5" t="s">
        <v>212</v>
      </c>
      <c r="N104">
        <f t="shared" si="13"/>
        <v>100</v>
      </c>
      <c r="O104" s="7">
        <f t="shared" si="12"/>
        <v>2637.0204553029621</v>
      </c>
      <c r="P104" s="5" t="s">
        <v>212</v>
      </c>
    </row>
    <row r="105" spans="1:16" x14ac:dyDescent="0.2">
      <c r="A105" s="6">
        <f t="shared" si="8"/>
        <v>29.13523509488062</v>
      </c>
      <c r="B105" s="5" t="s">
        <v>136</v>
      </c>
      <c r="C105">
        <f t="shared" si="10"/>
        <v>22</v>
      </c>
      <c r="F105" s="5" t="s">
        <v>161</v>
      </c>
      <c r="G105">
        <f t="shared" si="9"/>
        <v>68</v>
      </c>
      <c r="H105" s="6">
        <f>H104*2^(1/12)</f>
        <v>415.30469757994587</v>
      </c>
      <c r="I105" s="5" t="s">
        <v>161</v>
      </c>
      <c r="M105" s="5" t="s">
        <v>213</v>
      </c>
      <c r="N105">
        <f t="shared" si="13"/>
        <v>101</v>
      </c>
      <c r="O105" s="7">
        <f t="shared" si="12"/>
        <v>2793.8258514640338</v>
      </c>
      <c r="P105" s="5" t="s">
        <v>213</v>
      </c>
    </row>
    <row r="106" spans="1:16" x14ac:dyDescent="0.2">
      <c r="A106" s="6">
        <v>27.5</v>
      </c>
      <c r="B106" s="5" t="s">
        <v>135</v>
      </c>
      <c r="C106">
        <f t="shared" si="10"/>
        <v>21</v>
      </c>
      <c r="F106" s="5" t="s">
        <v>183</v>
      </c>
      <c r="G106">
        <f t="shared" si="9"/>
        <v>69</v>
      </c>
      <c r="H106" s="6">
        <f>H105*2^(1/12)</f>
        <v>440.0000000000008</v>
      </c>
      <c r="I106" s="5" t="s">
        <v>183</v>
      </c>
      <c r="M106" s="5" t="s">
        <v>214</v>
      </c>
      <c r="N106">
        <f t="shared" si="13"/>
        <v>102</v>
      </c>
      <c r="O106" s="7">
        <f t="shared" si="12"/>
        <v>2959.9553816930784</v>
      </c>
      <c r="P106" s="5" t="s">
        <v>214</v>
      </c>
    </row>
    <row r="107" spans="1:16" x14ac:dyDescent="0.2">
      <c r="A107" s="5"/>
      <c r="M107" s="5" t="s">
        <v>215</v>
      </c>
      <c r="N107">
        <f t="shared" si="13"/>
        <v>103</v>
      </c>
      <c r="O107" s="7">
        <f t="shared" si="12"/>
        <v>3135.9634878539978</v>
      </c>
      <c r="P107" s="5" t="s">
        <v>215</v>
      </c>
    </row>
    <row r="108" spans="1:16" x14ac:dyDescent="0.2">
      <c r="A108" s="5"/>
      <c r="M108" s="5" t="s">
        <v>216</v>
      </c>
      <c r="N108">
        <f t="shared" si="13"/>
        <v>104</v>
      </c>
      <c r="O108" s="7">
        <f t="shared" si="12"/>
        <v>3322.4375806395647</v>
      </c>
      <c r="P108" s="5" t="s">
        <v>216</v>
      </c>
    </row>
    <row r="109" spans="1:16" x14ac:dyDescent="0.2">
      <c r="A109" s="5"/>
      <c r="M109" s="5" t="s">
        <v>217</v>
      </c>
      <c r="N109">
        <f t="shared" si="13"/>
        <v>105</v>
      </c>
      <c r="O109" s="7">
        <f t="shared" si="12"/>
        <v>3520.0000000000041</v>
      </c>
      <c r="P109" s="5" t="s">
        <v>217</v>
      </c>
    </row>
    <row r="110" spans="1:16" x14ac:dyDescent="0.2">
      <c r="A110" s="5"/>
      <c r="M110" s="5" t="s">
        <v>218</v>
      </c>
      <c r="N110">
        <f t="shared" si="13"/>
        <v>106</v>
      </c>
      <c r="O110" s="7">
        <f t="shared" si="12"/>
        <v>3729.310092144724</v>
      </c>
      <c r="P110" s="5" t="s">
        <v>218</v>
      </c>
    </row>
    <row r="111" spans="1:16" x14ac:dyDescent="0.2">
      <c r="A111" s="5"/>
      <c r="M111" s="5" t="s">
        <v>221</v>
      </c>
      <c r="N111">
        <f t="shared" si="13"/>
        <v>107</v>
      </c>
      <c r="O111" s="7">
        <f t="shared" si="12"/>
        <v>3951.066410048998</v>
      </c>
      <c r="P111" s="5" t="s">
        <v>221</v>
      </c>
    </row>
    <row r="112" spans="1:16" x14ac:dyDescent="0.2">
      <c r="A112" s="5"/>
      <c r="M112" s="5" t="s">
        <v>222</v>
      </c>
      <c r="N112">
        <f t="shared" si="13"/>
        <v>108</v>
      </c>
      <c r="O112" s="7">
        <f t="shared" si="12"/>
        <v>4186.0090448095834</v>
      </c>
      <c r="P112" s="5" t="s">
        <v>222</v>
      </c>
    </row>
    <row r="113" spans="1:16" x14ac:dyDescent="0.2">
      <c r="A113" s="5"/>
      <c r="M113" s="5" t="s">
        <v>223</v>
      </c>
      <c r="N113">
        <f t="shared" si="13"/>
        <v>109</v>
      </c>
      <c r="O113" s="7">
        <f t="shared" si="12"/>
        <v>4434.9220956299596</v>
      </c>
      <c r="P113" s="5" t="s">
        <v>223</v>
      </c>
    </row>
    <row r="114" spans="1:16" x14ac:dyDescent="0.2">
      <c r="A114" s="5"/>
      <c r="M114" s="5" t="s">
        <v>224</v>
      </c>
      <c r="N114">
        <f t="shared" si="13"/>
        <v>110</v>
      </c>
      <c r="O114" s="7">
        <f t="shared" si="12"/>
        <v>4698.6362866785275</v>
      </c>
      <c r="P114" s="5" t="s">
        <v>224</v>
      </c>
    </row>
    <row r="115" spans="1:16" x14ac:dyDescent="0.2">
      <c r="A115" s="5"/>
      <c r="M115" s="5" t="s">
        <v>225</v>
      </c>
      <c r="N115">
        <f t="shared" si="13"/>
        <v>111</v>
      </c>
      <c r="O115" s="7">
        <f t="shared" si="12"/>
        <v>4978.031739553302</v>
      </c>
      <c r="P115" s="5" t="s">
        <v>225</v>
      </c>
    </row>
    <row r="116" spans="1:16" x14ac:dyDescent="0.2">
      <c r="A116" s="5"/>
      <c r="M116" s="5" t="s">
        <v>226</v>
      </c>
      <c r="N116">
        <f t="shared" si="13"/>
        <v>112</v>
      </c>
      <c r="O116" s="7">
        <f t="shared" si="12"/>
        <v>5274.0409106059269</v>
      </c>
      <c r="P116" s="5" t="s">
        <v>226</v>
      </c>
    </row>
    <row r="117" spans="1:16" x14ac:dyDescent="0.2">
      <c r="A117" s="5"/>
      <c r="M117" s="5" t="s">
        <v>227</v>
      </c>
      <c r="N117">
        <f t="shared" si="13"/>
        <v>113</v>
      </c>
      <c r="O117" s="7">
        <f t="shared" si="12"/>
        <v>5587.6517029280712</v>
      </c>
      <c r="P117" s="5" t="s">
        <v>227</v>
      </c>
    </row>
    <row r="118" spans="1:16" x14ac:dyDescent="0.2">
      <c r="A118" s="5"/>
      <c r="M118" s="5" t="s">
        <v>228</v>
      </c>
      <c r="N118">
        <f t="shared" si="13"/>
        <v>114</v>
      </c>
      <c r="O118" s="7">
        <f t="shared" si="12"/>
        <v>5919.9107633861604</v>
      </c>
      <c r="P118" s="5" t="s">
        <v>228</v>
      </c>
    </row>
    <row r="119" spans="1:16" x14ac:dyDescent="0.2">
      <c r="A119" s="5"/>
      <c r="M119" s="5" t="s">
        <v>229</v>
      </c>
      <c r="N119">
        <f t="shared" si="13"/>
        <v>115</v>
      </c>
      <c r="O119" s="7">
        <f t="shared" si="12"/>
        <v>6271.9269757079992</v>
      </c>
      <c r="P119" s="5" t="s">
        <v>229</v>
      </c>
    </row>
    <row r="120" spans="1:16" x14ac:dyDescent="0.2">
      <c r="A120" s="5"/>
      <c r="M120" s="5" t="s">
        <v>230</v>
      </c>
      <c r="N120">
        <f t="shared" si="13"/>
        <v>116</v>
      </c>
      <c r="O120" s="7">
        <f t="shared" si="12"/>
        <v>6644.8751612791339</v>
      </c>
      <c r="P120" s="5" t="s">
        <v>230</v>
      </c>
    </row>
    <row r="121" spans="1:16" x14ac:dyDescent="0.2">
      <c r="A121" s="5"/>
      <c r="M121" s="5" t="s">
        <v>231</v>
      </c>
      <c r="N121">
        <f t="shared" si="13"/>
        <v>117</v>
      </c>
      <c r="O121" s="7">
        <f t="shared" si="12"/>
        <v>7040.0000000000127</v>
      </c>
      <c r="P121" s="5" t="s">
        <v>231</v>
      </c>
    </row>
    <row r="122" spans="1:16" x14ac:dyDescent="0.2">
      <c r="M122" s="5" t="s">
        <v>232</v>
      </c>
      <c r="N122">
        <f t="shared" si="13"/>
        <v>118</v>
      </c>
      <c r="O122" s="7">
        <f t="shared" si="12"/>
        <v>7458.6201842894525</v>
      </c>
      <c r="P122" s="5" t="s">
        <v>232</v>
      </c>
    </row>
    <row r="123" spans="1:16" x14ac:dyDescent="0.2">
      <c r="M123" s="5" t="s">
        <v>233</v>
      </c>
      <c r="N123">
        <f t="shared" si="13"/>
        <v>119</v>
      </c>
      <c r="O123" s="7">
        <f t="shared" si="12"/>
        <v>7902.1328200980006</v>
      </c>
      <c r="P123" s="5" t="s">
        <v>233</v>
      </c>
    </row>
  </sheetData>
  <sheetProtection password="AEEB" sheet="1" objects="1" scenarios="1"/>
  <mergeCells count="3">
    <mergeCell ref="A2:C2"/>
    <mergeCell ref="L2:Q2"/>
    <mergeCell ref="A1:P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145"/>
  <sheetViews>
    <sheetView zoomScaleNormal="100" workbookViewId="0">
      <selection sqref="A1:K1"/>
    </sheetView>
  </sheetViews>
  <sheetFormatPr defaultRowHeight="12.75" x14ac:dyDescent="0.2"/>
  <cols>
    <col min="1" max="1" width="7.28515625" bestFit="1" customWidth="1"/>
    <col min="2" max="2" width="11.5703125" bestFit="1" customWidth="1"/>
    <col min="4" max="4" width="10" bestFit="1" customWidth="1"/>
    <col min="5" max="5" width="11.5703125" bestFit="1" customWidth="1"/>
    <col min="6" max="6" width="10.140625" customWidth="1"/>
    <col min="8" max="8" width="12" bestFit="1" customWidth="1"/>
    <col min="9" max="9" width="10.85546875" customWidth="1"/>
    <col min="11" max="11" width="11.5703125" bestFit="1" customWidth="1"/>
    <col min="12" max="18" width="9.140625" customWidth="1"/>
    <col min="23" max="24" width="9.140625" customWidth="1"/>
    <col min="26" max="26" width="9.140625" customWidth="1"/>
  </cols>
  <sheetData>
    <row r="1" spans="1:18" x14ac:dyDescent="0.2">
      <c r="A1" s="98" t="s">
        <v>364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80"/>
      <c r="M1" s="80"/>
      <c r="N1" s="80"/>
      <c r="O1" s="80"/>
      <c r="P1" s="80"/>
      <c r="Q1" s="80"/>
      <c r="R1" s="13"/>
    </row>
    <row r="2" spans="1:18" x14ac:dyDescent="0.2">
      <c r="A2" s="97" t="s">
        <v>365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78"/>
      <c r="M2" s="78"/>
      <c r="N2" s="78"/>
      <c r="O2" s="78"/>
      <c r="P2" s="78"/>
      <c r="Q2" s="78"/>
    </row>
    <row r="3" spans="1:18" x14ac:dyDescent="0.2">
      <c r="A3" s="97" t="s">
        <v>281</v>
      </c>
      <c r="B3" s="97"/>
      <c r="C3" s="1"/>
      <c r="D3" s="97" t="s">
        <v>150</v>
      </c>
      <c r="E3" s="97"/>
      <c r="F3" s="1"/>
      <c r="G3" s="97" t="s">
        <v>151</v>
      </c>
      <c r="H3" s="97"/>
      <c r="I3" s="97"/>
      <c r="J3" s="97"/>
      <c r="K3" s="97"/>
      <c r="L3" s="1"/>
      <c r="M3" s="78"/>
      <c r="N3" s="78"/>
      <c r="P3" s="78"/>
      <c r="Q3" s="78"/>
    </row>
    <row r="4" spans="1:18" x14ac:dyDescent="0.2">
      <c r="A4" s="97" t="s">
        <v>154</v>
      </c>
      <c r="B4" s="97"/>
      <c r="C4" s="2"/>
      <c r="D4" s="97" t="s">
        <v>313</v>
      </c>
      <c r="E4" s="97"/>
      <c r="F4" s="2"/>
      <c r="G4" s="97" t="s">
        <v>243</v>
      </c>
      <c r="H4" s="97"/>
      <c r="I4" s="2"/>
      <c r="J4" s="97" t="s">
        <v>244</v>
      </c>
      <c r="K4" s="97"/>
      <c r="L4" s="2"/>
      <c r="M4" s="78"/>
      <c r="N4" s="78"/>
      <c r="P4" s="79"/>
      <c r="Q4" s="79"/>
    </row>
    <row r="5" spans="1:18" x14ac:dyDescent="0.2">
      <c r="A5" s="97" t="s">
        <v>245</v>
      </c>
      <c r="B5" s="97"/>
      <c r="D5" s="97" t="s">
        <v>246</v>
      </c>
      <c r="E5" s="97"/>
      <c r="F5" s="2"/>
      <c r="G5" s="97" t="s">
        <v>247</v>
      </c>
      <c r="H5" s="97"/>
      <c r="I5" s="2"/>
      <c r="J5" s="97" t="s">
        <v>248</v>
      </c>
      <c r="K5" s="97"/>
      <c r="M5" s="78"/>
      <c r="N5" s="78"/>
      <c r="P5" s="78"/>
      <c r="Q5" s="78"/>
    </row>
    <row r="6" spans="1:18" x14ac:dyDescent="0.2">
      <c r="A6" s="97" t="s">
        <v>276</v>
      </c>
      <c r="B6" s="97"/>
      <c r="D6" s="97" t="s">
        <v>277</v>
      </c>
      <c r="E6" s="97"/>
      <c r="F6" s="2"/>
      <c r="G6" s="97" t="s">
        <v>278</v>
      </c>
      <c r="H6" s="97"/>
      <c r="I6" s="2"/>
      <c r="J6" s="97" t="s">
        <v>279</v>
      </c>
      <c r="K6" s="97"/>
      <c r="M6" s="78"/>
      <c r="N6" s="78"/>
      <c r="P6" s="78"/>
      <c r="Q6" s="78"/>
    </row>
    <row r="7" spans="1:18" x14ac:dyDescent="0.2">
      <c r="A7" s="75" t="s">
        <v>4</v>
      </c>
      <c r="B7" s="75" t="s">
        <v>0</v>
      </c>
      <c r="C7" s="5"/>
      <c r="D7" s="75" t="s">
        <v>4</v>
      </c>
      <c r="E7" s="75" t="s">
        <v>0</v>
      </c>
      <c r="F7" s="5"/>
      <c r="G7" s="75" t="s">
        <v>4</v>
      </c>
      <c r="H7" s="75" t="s">
        <v>0</v>
      </c>
      <c r="I7" s="5"/>
      <c r="J7" s="75" t="s">
        <v>4</v>
      </c>
      <c r="K7" s="75" t="s">
        <v>0</v>
      </c>
      <c r="L7" s="5"/>
      <c r="M7" s="75"/>
      <c r="N7" s="75"/>
      <c r="O7" s="5"/>
      <c r="P7" s="75"/>
      <c r="Q7" s="2"/>
    </row>
    <row r="8" spans="1:18" x14ac:dyDescent="0.2">
      <c r="A8" s="5" t="s">
        <v>25</v>
      </c>
      <c r="B8" s="76">
        <v>1.0849999999999999E-5</v>
      </c>
      <c r="C8" s="5"/>
      <c r="D8" s="5" t="s">
        <v>77</v>
      </c>
      <c r="E8" s="76">
        <v>5.524E-5</v>
      </c>
      <c r="F8" s="5"/>
      <c r="G8" s="5" t="s">
        <v>286</v>
      </c>
      <c r="H8" s="76">
        <f>H21/4</f>
        <v>5.2544999999999999E-5</v>
      </c>
      <c r="I8" s="5"/>
      <c r="J8" s="5" t="s">
        <v>249</v>
      </c>
      <c r="K8" s="76">
        <v>7.8620000000000003E-5</v>
      </c>
      <c r="L8" s="5"/>
      <c r="M8" s="5"/>
      <c r="N8" s="76"/>
      <c r="O8" s="5"/>
      <c r="P8" s="5"/>
      <c r="Q8" s="4"/>
    </row>
    <row r="9" spans="1:18" x14ac:dyDescent="0.2">
      <c r="A9" s="5" t="s">
        <v>26</v>
      </c>
      <c r="B9" s="76">
        <v>1.418E-5</v>
      </c>
      <c r="C9" s="5"/>
      <c r="D9" s="5" t="s">
        <v>78</v>
      </c>
      <c r="E9" s="76">
        <v>6.2150000000000006E-5</v>
      </c>
      <c r="F9" s="5"/>
      <c r="G9" s="5" t="s">
        <v>287</v>
      </c>
      <c r="H9" s="76">
        <f>H22/4</f>
        <v>5.9692499999999998E-5</v>
      </c>
      <c r="I9" s="5"/>
      <c r="J9" s="5" t="s">
        <v>250</v>
      </c>
      <c r="K9" s="76">
        <v>8.6840000000000002E-5</v>
      </c>
      <c r="L9" s="5"/>
      <c r="M9" s="5"/>
      <c r="N9" s="76"/>
      <c r="O9" s="5"/>
      <c r="P9" s="5"/>
      <c r="Q9" s="4"/>
    </row>
    <row r="10" spans="1:18" x14ac:dyDescent="0.2">
      <c r="A10" s="5" t="s">
        <v>27</v>
      </c>
      <c r="B10" s="76">
        <v>1.6010000000000001E-5</v>
      </c>
      <c r="C10" s="5"/>
      <c r="D10" s="5" t="s">
        <v>79</v>
      </c>
      <c r="E10" s="76">
        <v>6.9469999999999997E-5</v>
      </c>
      <c r="F10" s="5"/>
      <c r="G10" s="5" t="s">
        <v>6</v>
      </c>
      <c r="H10" s="76">
        <v>8.106E-5</v>
      </c>
      <c r="I10" s="5"/>
      <c r="J10" s="5" t="s">
        <v>251</v>
      </c>
      <c r="K10" s="76">
        <v>9.6000000000000002E-5</v>
      </c>
      <c r="L10" s="5"/>
      <c r="M10" s="5"/>
      <c r="N10" s="76"/>
      <c r="O10" s="5"/>
      <c r="P10" s="5"/>
      <c r="Q10" s="4"/>
    </row>
    <row r="11" spans="1:18" x14ac:dyDescent="0.2">
      <c r="A11" s="5" t="s">
        <v>28</v>
      </c>
      <c r="B11" s="76">
        <v>1.7940000000000001E-5</v>
      </c>
      <c r="C11" s="5"/>
      <c r="D11" s="5" t="s">
        <v>80</v>
      </c>
      <c r="E11" s="76">
        <v>7.4950000000000006E-5</v>
      </c>
      <c r="F11" s="5"/>
      <c r="G11" s="5" t="s">
        <v>10</v>
      </c>
      <c r="H11" s="76">
        <v>8.9439999999999997E-5</v>
      </c>
      <c r="I11" s="5"/>
      <c r="J11" s="5" t="s">
        <v>252</v>
      </c>
      <c r="K11" s="76">
        <v>1.0509E-4</v>
      </c>
      <c r="L11" s="5"/>
      <c r="M11" s="5"/>
      <c r="N11" s="76"/>
      <c r="O11" s="5"/>
      <c r="P11" s="5"/>
      <c r="Q11" s="4"/>
    </row>
    <row r="12" spans="1:18" x14ac:dyDescent="0.2">
      <c r="A12" s="5" t="s">
        <v>29</v>
      </c>
      <c r="B12" s="76">
        <v>1.999E-5</v>
      </c>
      <c r="C12" s="5"/>
      <c r="D12" s="5" t="s">
        <v>81</v>
      </c>
      <c r="E12" s="76">
        <v>8.2929999999999994E-5</v>
      </c>
      <c r="F12" s="5"/>
      <c r="G12" s="5" t="s">
        <v>5</v>
      </c>
      <c r="H12" s="76">
        <v>9.8759999999999996E-5</v>
      </c>
      <c r="I12" s="5"/>
      <c r="J12" s="5" t="s">
        <v>253</v>
      </c>
      <c r="K12" s="76">
        <v>1.1353000000000001E-4</v>
      </c>
      <c r="L12" s="5"/>
      <c r="M12" s="5"/>
      <c r="N12" s="76"/>
      <c r="O12" s="5"/>
      <c r="P12" s="5"/>
      <c r="Q12" s="4"/>
    </row>
    <row r="13" spans="1:18" x14ac:dyDescent="0.2">
      <c r="A13" s="5" t="s">
        <v>30</v>
      </c>
      <c r="B13" s="76">
        <v>2.215E-5</v>
      </c>
      <c r="C13" s="5"/>
      <c r="D13" s="5" t="s">
        <v>82</v>
      </c>
      <c r="E13" s="76">
        <v>9.1840000000000002E-5</v>
      </c>
      <c r="F13" s="5"/>
      <c r="G13" s="5" t="s">
        <v>7</v>
      </c>
      <c r="H13" s="76">
        <v>1.0801E-4</v>
      </c>
      <c r="I13" s="5"/>
      <c r="J13" s="5" t="s">
        <v>254</v>
      </c>
      <c r="K13" s="76">
        <v>1.2339E-4</v>
      </c>
      <c r="L13" s="5"/>
      <c r="M13" s="5"/>
      <c r="N13" s="76"/>
      <c r="O13" s="5"/>
      <c r="P13" s="5"/>
      <c r="Q13" s="4"/>
    </row>
    <row r="14" spans="1:18" x14ac:dyDescent="0.2">
      <c r="A14" s="5" t="s">
        <v>31</v>
      </c>
      <c r="B14" s="76">
        <v>2.442E-5</v>
      </c>
      <c r="C14" s="5"/>
      <c r="D14" s="5" t="s">
        <v>83</v>
      </c>
      <c r="E14" s="76">
        <v>1.0857E-4</v>
      </c>
      <c r="F14" s="5"/>
      <c r="G14" s="5" t="s">
        <v>9</v>
      </c>
      <c r="H14" s="76">
        <v>1.1682E-4</v>
      </c>
      <c r="I14" s="5"/>
      <c r="J14" s="5" t="s">
        <v>255</v>
      </c>
      <c r="K14" s="76">
        <v>1.3253000000000001E-4</v>
      </c>
      <c r="L14" s="5"/>
      <c r="M14" s="5"/>
      <c r="N14" s="76"/>
      <c r="O14" s="5"/>
      <c r="P14" s="5"/>
      <c r="Q14" s="4"/>
    </row>
    <row r="15" spans="1:18" x14ac:dyDescent="0.2">
      <c r="A15" s="5" t="s">
        <v>32</v>
      </c>
      <c r="B15" s="76">
        <v>2.6800000000000001E-5</v>
      </c>
      <c r="C15" s="5"/>
      <c r="D15" s="5" t="s">
        <v>282</v>
      </c>
      <c r="E15" s="76">
        <v>1.1254E-4</v>
      </c>
      <c r="F15" s="5"/>
      <c r="G15" s="5" t="s">
        <v>100</v>
      </c>
      <c r="H15" s="76">
        <v>1.2685999999999999E-4</v>
      </c>
      <c r="I15" s="5"/>
      <c r="J15" s="5" t="s">
        <v>256</v>
      </c>
      <c r="K15" s="76">
        <v>1.4396999999999999E-4</v>
      </c>
      <c r="L15" s="5"/>
      <c r="M15" s="5"/>
      <c r="N15" s="76"/>
      <c r="O15" s="5"/>
      <c r="P15" s="5"/>
      <c r="Q15" s="4"/>
    </row>
    <row r="16" spans="1:18" x14ac:dyDescent="0.2">
      <c r="A16" s="5" t="s">
        <v>33</v>
      </c>
      <c r="B16" s="76">
        <v>2.9300000000000001E-5</v>
      </c>
      <c r="C16" s="5"/>
      <c r="D16" s="5" t="s">
        <v>84</v>
      </c>
      <c r="E16" s="76">
        <v>1.2671000000000001E-4</v>
      </c>
      <c r="F16" s="5"/>
      <c r="G16" s="5" t="s">
        <v>101</v>
      </c>
      <c r="H16" s="76">
        <v>1.3640000000000001E-4</v>
      </c>
      <c r="I16" s="5"/>
      <c r="J16" s="5" t="s">
        <v>257</v>
      </c>
      <c r="K16" s="76">
        <v>1.6838000000000001E-4</v>
      </c>
      <c r="L16" s="5"/>
      <c r="M16" s="5"/>
      <c r="N16" s="76"/>
      <c r="O16" s="5"/>
      <c r="P16" s="5"/>
      <c r="Q16" s="4"/>
    </row>
    <row r="17" spans="1:26" x14ac:dyDescent="0.2">
      <c r="A17" s="5" t="s">
        <v>11</v>
      </c>
      <c r="B17" s="76">
        <v>3.1900000000000003E-5</v>
      </c>
      <c r="C17" s="5"/>
      <c r="D17" s="5" t="s">
        <v>85</v>
      </c>
      <c r="E17" s="76">
        <v>1.4666000000000001E-4</v>
      </c>
      <c r="F17" s="5"/>
      <c r="G17" s="5" t="s">
        <v>102</v>
      </c>
      <c r="H17" s="76">
        <v>1.4834000000000001E-4</v>
      </c>
      <c r="I17" s="5"/>
      <c r="J17" s="5" t="s">
        <v>258</v>
      </c>
      <c r="K17" s="76">
        <v>1.8092E-4</v>
      </c>
      <c r="L17" s="5"/>
      <c r="M17" s="5"/>
      <c r="N17" s="76"/>
      <c r="O17" s="5"/>
      <c r="P17" s="5"/>
      <c r="Q17" s="4"/>
    </row>
    <row r="18" spans="1:26" x14ac:dyDescent="0.2">
      <c r="A18" s="5" t="s">
        <v>307</v>
      </c>
      <c r="B18" s="76">
        <v>3.4100000000000002E-5</v>
      </c>
      <c r="C18" s="5"/>
      <c r="D18" s="5" t="s">
        <v>14</v>
      </c>
      <c r="E18" s="76">
        <v>1.7236000000000001E-4</v>
      </c>
      <c r="F18" s="5"/>
      <c r="G18" s="5" t="s">
        <v>152</v>
      </c>
      <c r="H18" s="76">
        <f>H39/4</f>
        <v>1.586925E-4</v>
      </c>
      <c r="I18" s="5"/>
      <c r="J18" s="5" t="s">
        <v>297</v>
      </c>
      <c r="K18" s="76">
        <v>1.9201999999999999E-4</v>
      </c>
      <c r="L18" s="5"/>
      <c r="M18" s="5"/>
      <c r="N18" s="76"/>
      <c r="O18" s="5"/>
      <c r="P18" s="5"/>
    </row>
    <row r="19" spans="1:26" x14ac:dyDescent="0.2">
      <c r="A19" s="5" t="s">
        <v>12</v>
      </c>
      <c r="B19" s="76">
        <v>3.7440000000000001E-5</v>
      </c>
      <c r="C19" s="5"/>
      <c r="D19" s="5" t="s">
        <v>86</v>
      </c>
      <c r="E19" s="76">
        <v>1.9347E-4</v>
      </c>
      <c r="F19" s="5"/>
      <c r="G19" s="5" t="s">
        <v>103</v>
      </c>
      <c r="H19" s="76">
        <v>1.7380999999999999E-4</v>
      </c>
      <c r="I19" s="5"/>
      <c r="J19" s="5" t="s">
        <v>259</v>
      </c>
      <c r="K19" s="76">
        <v>2.0352E-4</v>
      </c>
      <c r="L19" s="5"/>
      <c r="M19" s="5"/>
      <c r="N19" s="76"/>
      <c r="O19" s="5"/>
      <c r="P19" s="5"/>
      <c r="T19" s="99"/>
      <c r="U19" s="99"/>
      <c r="V19" s="99"/>
      <c r="W19" s="99"/>
      <c r="X19" s="99"/>
    </row>
    <row r="20" spans="1:26" x14ac:dyDescent="0.2">
      <c r="A20" s="5" t="s">
        <v>68</v>
      </c>
      <c r="B20" s="76">
        <v>4.0370000000000001E-5</v>
      </c>
      <c r="C20" s="5"/>
      <c r="D20" s="5" t="s">
        <v>87</v>
      </c>
      <c r="E20" s="76">
        <v>2.1589999999999999E-4</v>
      </c>
      <c r="F20" s="5"/>
      <c r="G20" s="5" t="s">
        <v>8</v>
      </c>
      <c r="H20" s="76">
        <v>1.8660000000000001E-4</v>
      </c>
      <c r="I20" s="5"/>
      <c r="J20" s="5" t="s">
        <v>260</v>
      </c>
      <c r="K20" s="76">
        <v>2.2751999999999999E-4</v>
      </c>
      <c r="L20" s="5"/>
      <c r="M20" s="5"/>
      <c r="N20" s="76"/>
      <c r="O20" s="5"/>
      <c r="P20" s="5"/>
    </row>
    <row r="21" spans="1:26" x14ac:dyDescent="0.2">
      <c r="A21" s="5" t="s">
        <v>67</v>
      </c>
      <c r="B21" s="76">
        <v>4.3420000000000001E-5</v>
      </c>
      <c r="C21" s="5"/>
      <c r="D21" s="5" t="s">
        <v>88</v>
      </c>
      <c r="E21" s="76">
        <v>2.3964E-4</v>
      </c>
      <c r="F21" s="5"/>
      <c r="G21" s="5" t="s">
        <v>104</v>
      </c>
      <c r="H21" s="76">
        <v>2.1018E-4</v>
      </c>
      <c r="I21" s="5"/>
      <c r="J21" s="5" t="s">
        <v>261</v>
      </c>
      <c r="K21" s="76">
        <v>2.4006E-4</v>
      </c>
      <c r="L21" s="5"/>
      <c r="M21" s="5"/>
      <c r="N21" s="76"/>
      <c r="O21" s="5"/>
      <c r="P21" s="5"/>
    </row>
    <row r="22" spans="1:26" x14ac:dyDescent="0.2">
      <c r="A22" s="5" t="s">
        <v>69</v>
      </c>
      <c r="B22" s="76">
        <v>4.9839999999999997E-5</v>
      </c>
      <c r="C22" s="5"/>
      <c r="D22" s="5" t="s">
        <v>283</v>
      </c>
      <c r="E22" s="76">
        <f>E43/4</f>
        <v>2.4717249999999999E-4</v>
      </c>
      <c r="F22" s="5"/>
      <c r="G22" s="5" t="s">
        <v>105</v>
      </c>
      <c r="H22" s="76">
        <v>2.3876999999999999E-4</v>
      </c>
      <c r="I22" s="5"/>
      <c r="J22" s="5" t="s">
        <v>262</v>
      </c>
      <c r="K22" s="76">
        <v>2.5417000000000001E-4</v>
      </c>
      <c r="L22" s="5"/>
      <c r="M22" s="5"/>
      <c r="N22" s="76"/>
      <c r="O22" s="5"/>
      <c r="P22" s="5"/>
      <c r="V22" s="5"/>
    </row>
    <row r="23" spans="1:26" x14ac:dyDescent="0.2">
      <c r="A23" s="5" t="s">
        <v>308</v>
      </c>
      <c r="B23" s="76">
        <v>5.1999999999999997E-5</v>
      </c>
      <c r="C23" s="5"/>
      <c r="D23" s="5" t="s">
        <v>89</v>
      </c>
      <c r="E23" s="76">
        <v>2.6470999999999998E-4</v>
      </c>
      <c r="F23" s="5"/>
      <c r="G23" s="5" t="s">
        <v>106</v>
      </c>
      <c r="H23" s="76">
        <v>2.5365000000000001E-4</v>
      </c>
      <c r="I23" s="5"/>
      <c r="J23" s="5" t="s">
        <v>298</v>
      </c>
      <c r="K23" s="76">
        <v>2.6927E-4</v>
      </c>
      <c r="L23" s="5"/>
      <c r="M23" s="5"/>
      <c r="N23" s="76"/>
      <c r="O23" s="5"/>
      <c r="P23" s="5"/>
      <c r="U23" s="19"/>
      <c r="W23" s="7"/>
      <c r="X23" s="4"/>
    </row>
    <row r="24" spans="1:26" x14ac:dyDescent="0.2">
      <c r="A24" s="5" t="s">
        <v>70</v>
      </c>
      <c r="B24" s="76">
        <v>5.6709999999999997E-5</v>
      </c>
      <c r="C24" s="5"/>
      <c r="D24" s="5" t="s">
        <v>90</v>
      </c>
      <c r="E24" s="76">
        <v>2.7932E-4</v>
      </c>
      <c r="F24" s="5"/>
      <c r="G24" s="5" t="s">
        <v>107</v>
      </c>
      <c r="H24" s="76">
        <v>2.6830000000000002E-4</v>
      </c>
      <c r="I24" s="5"/>
      <c r="J24" s="5" t="s">
        <v>299</v>
      </c>
      <c r="K24" s="76">
        <v>2.8757000000000001E-4</v>
      </c>
      <c r="L24" s="5"/>
      <c r="M24" s="5"/>
      <c r="N24" s="76"/>
      <c r="O24" s="5"/>
      <c r="P24" s="5"/>
      <c r="V24" s="5"/>
      <c r="W24" s="7"/>
      <c r="X24" s="4"/>
    </row>
    <row r="25" spans="1:26" x14ac:dyDescent="0.2">
      <c r="A25" s="5" t="s">
        <v>309</v>
      </c>
      <c r="B25" s="76">
        <v>5.9700000000000001E-5</v>
      </c>
      <c r="C25" s="5"/>
      <c r="D25" s="5" t="s">
        <v>285</v>
      </c>
      <c r="E25" s="76">
        <f>E11*4</f>
        <v>2.9980000000000002E-4</v>
      </c>
      <c r="F25" s="5"/>
      <c r="G25" s="5" t="s">
        <v>288</v>
      </c>
      <c r="H25" s="76">
        <v>2.9329999999999997E-4</v>
      </c>
      <c r="I25" s="5"/>
      <c r="J25" s="5" t="s">
        <v>263</v>
      </c>
      <c r="K25" s="76">
        <v>3.0063000000000003E-4</v>
      </c>
      <c r="L25" s="5"/>
      <c r="M25" s="5"/>
      <c r="N25" s="76"/>
      <c r="O25" s="5"/>
      <c r="P25" s="5"/>
      <c r="U25" s="19"/>
      <c r="W25" s="7"/>
      <c r="X25" s="4"/>
      <c r="Z25" s="4"/>
    </row>
    <row r="26" spans="1:26" x14ac:dyDescent="0.2">
      <c r="A26" s="5" t="s">
        <v>13</v>
      </c>
      <c r="B26" s="76">
        <v>6.402E-5</v>
      </c>
      <c r="C26" s="5"/>
      <c r="D26" s="5" t="s">
        <v>91</v>
      </c>
      <c r="E26" s="76">
        <v>3.2278999999999999E-4</v>
      </c>
      <c r="F26" s="5"/>
      <c r="G26" s="5" t="s">
        <v>108</v>
      </c>
      <c r="H26" s="76">
        <v>3.1125E-4</v>
      </c>
      <c r="I26" s="5"/>
      <c r="J26" s="5" t="s">
        <v>300</v>
      </c>
      <c r="K26" s="76">
        <f>K8*4</f>
        <v>3.1448000000000001E-4</v>
      </c>
      <c r="L26" s="5"/>
      <c r="M26" s="5"/>
      <c r="N26" s="76"/>
      <c r="O26" s="5"/>
      <c r="P26" s="5"/>
      <c r="U26" s="19"/>
      <c r="W26" s="7"/>
      <c r="X26" s="4"/>
      <c r="Z26" s="4"/>
    </row>
    <row r="27" spans="1:26" x14ac:dyDescent="0.2">
      <c r="A27" s="5" t="s">
        <v>71</v>
      </c>
      <c r="B27" s="76">
        <v>7.1169999999999998E-5</v>
      </c>
      <c r="C27" s="5"/>
      <c r="D27" s="5" t="s">
        <v>92</v>
      </c>
      <c r="E27" s="76">
        <v>3.5181999999999998E-4</v>
      </c>
      <c r="F27" s="5"/>
      <c r="G27" s="5" t="s">
        <v>289</v>
      </c>
      <c r="H27" s="76">
        <f>H10*4</f>
        <v>3.2424E-4</v>
      </c>
      <c r="I27" s="5"/>
      <c r="J27" s="5" t="s">
        <v>264</v>
      </c>
      <c r="K27" s="76">
        <v>3.4808000000000001E-4</v>
      </c>
      <c r="L27" s="5"/>
      <c r="M27" s="5"/>
      <c r="N27" s="76"/>
      <c r="O27" s="5"/>
      <c r="P27" s="5"/>
      <c r="U27" s="19"/>
      <c r="W27" s="7"/>
      <c r="X27" s="4"/>
      <c r="Z27" s="4"/>
    </row>
    <row r="28" spans="1:26" x14ac:dyDescent="0.2">
      <c r="A28" s="5" t="s">
        <v>72</v>
      </c>
      <c r="B28" s="76">
        <v>7.9969999999999995E-5</v>
      </c>
      <c r="C28" s="5"/>
      <c r="D28" s="5" t="s">
        <v>16</v>
      </c>
      <c r="E28" s="76">
        <v>3.8215999999999999E-4</v>
      </c>
      <c r="F28" s="5"/>
      <c r="G28" s="5" t="s">
        <v>109</v>
      </c>
      <c r="H28" s="76">
        <v>3.6722000000000002E-4</v>
      </c>
      <c r="I28" s="5"/>
      <c r="J28" s="5" t="s">
        <v>301</v>
      </c>
      <c r="K28" s="76">
        <f>K10*4</f>
        <v>3.8400000000000001E-4</v>
      </c>
      <c r="L28" s="5"/>
      <c r="M28" s="5"/>
      <c r="N28" s="76"/>
      <c r="O28" s="5"/>
      <c r="P28" s="5"/>
      <c r="U28" s="19"/>
      <c r="W28" s="7"/>
      <c r="X28" s="4"/>
      <c r="Z28" s="4"/>
    </row>
    <row r="29" spans="1:26" x14ac:dyDescent="0.2">
      <c r="A29" s="5" t="s">
        <v>73</v>
      </c>
      <c r="B29" s="76">
        <v>8.8609999999999994E-5</v>
      </c>
      <c r="C29" s="5"/>
      <c r="D29" s="5" t="s">
        <v>93</v>
      </c>
      <c r="E29" s="76">
        <v>4.1382000000000002E-4</v>
      </c>
      <c r="F29" s="5"/>
      <c r="G29" s="5" t="s">
        <v>290</v>
      </c>
      <c r="H29" s="76">
        <f>H12*4</f>
        <v>3.9503999999999999E-4</v>
      </c>
      <c r="I29" s="5"/>
      <c r="J29" s="5" t="s">
        <v>265</v>
      </c>
      <c r="K29" s="76">
        <v>4.0245E-4</v>
      </c>
      <c r="L29" s="5"/>
      <c r="M29" s="5"/>
      <c r="N29" s="76"/>
      <c r="O29" s="5"/>
      <c r="P29" s="5"/>
      <c r="U29" s="19"/>
      <c r="W29" s="7"/>
      <c r="X29" s="4"/>
      <c r="Z29" s="4"/>
    </row>
    <row r="30" spans="1:26" x14ac:dyDescent="0.2">
      <c r="A30" s="5" t="s">
        <v>310</v>
      </c>
      <c r="B30" s="76">
        <f>B14*4</f>
        <v>9.768E-5</v>
      </c>
      <c r="C30" s="5"/>
      <c r="D30" s="5" t="s">
        <v>94</v>
      </c>
      <c r="E30" s="76">
        <v>4.3014000000000003E-4</v>
      </c>
      <c r="F30" s="5"/>
      <c r="G30" s="5" t="s">
        <v>110</v>
      </c>
      <c r="H30" s="76">
        <v>4.1751000000000001E-4</v>
      </c>
      <c r="I30" s="5"/>
      <c r="J30" s="5" t="s">
        <v>302</v>
      </c>
      <c r="K30" s="76">
        <f>K11*4</f>
        <v>4.2035999999999999E-4</v>
      </c>
      <c r="L30" s="5"/>
      <c r="M30" s="5"/>
      <c r="N30" s="76"/>
      <c r="O30" s="5"/>
      <c r="P30" s="5"/>
      <c r="Z30" s="4"/>
    </row>
    <row r="31" spans="1:26" x14ac:dyDescent="0.2">
      <c r="A31" s="5" t="s">
        <v>74</v>
      </c>
      <c r="B31" s="76">
        <v>1.0721999999999999E-4</v>
      </c>
      <c r="C31" s="5"/>
      <c r="D31" s="5" t="s">
        <v>284</v>
      </c>
      <c r="E31" s="76">
        <f>E15*4</f>
        <v>4.5016000000000001E-4</v>
      </c>
      <c r="F31" s="5"/>
      <c r="G31" s="5" t="s">
        <v>291</v>
      </c>
      <c r="H31" s="76">
        <f>H13*4</f>
        <v>4.3204000000000002E-4</v>
      </c>
      <c r="I31" s="5"/>
      <c r="J31" s="5" t="s">
        <v>266</v>
      </c>
      <c r="K31" s="76">
        <v>4.3634000000000001E-4</v>
      </c>
      <c r="L31" s="5"/>
      <c r="M31" s="5"/>
      <c r="N31" s="5"/>
      <c r="O31" s="5"/>
      <c r="P31" s="5"/>
      <c r="Z31" s="4"/>
    </row>
    <row r="32" spans="1:26" x14ac:dyDescent="0.2">
      <c r="A32" s="5" t="s">
        <v>75</v>
      </c>
      <c r="B32" s="76">
        <v>1.2760000000000001E-4</v>
      </c>
      <c r="C32" s="5"/>
      <c r="D32" s="5" t="s">
        <v>95</v>
      </c>
      <c r="E32" s="76">
        <v>4.8108999999999999E-4</v>
      </c>
      <c r="F32" s="5"/>
      <c r="G32" s="5" t="s">
        <v>111</v>
      </c>
      <c r="H32" s="76">
        <v>4.5289000000000001E-4</v>
      </c>
      <c r="I32" s="5"/>
      <c r="J32" s="5" t="s">
        <v>303</v>
      </c>
      <c r="K32" s="76">
        <f>K12*4</f>
        <v>4.5412000000000002E-4</v>
      </c>
      <c r="L32" s="5"/>
      <c r="M32" s="5"/>
      <c r="N32" s="76"/>
      <c r="O32" s="5"/>
      <c r="P32" s="5"/>
      <c r="U32" s="19"/>
      <c r="W32" s="7"/>
      <c r="X32" s="4"/>
      <c r="Z32" s="4"/>
    </row>
    <row r="33" spans="1:26" x14ac:dyDescent="0.2">
      <c r="A33" s="5" t="s">
        <v>76</v>
      </c>
      <c r="B33" s="76">
        <v>1.4975000000000001E-4</v>
      </c>
      <c r="C33" s="5"/>
      <c r="D33" s="5" t="s">
        <v>96</v>
      </c>
      <c r="E33" s="76">
        <v>5.3837999999999998E-4</v>
      </c>
      <c r="F33" s="5"/>
      <c r="G33" s="5" t="s">
        <v>292</v>
      </c>
      <c r="H33" s="76">
        <f>H14*4</f>
        <v>4.6727999999999998E-4</v>
      </c>
      <c r="I33" s="5"/>
      <c r="J33" s="5" t="s">
        <v>267</v>
      </c>
      <c r="K33" s="76">
        <v>4.7367999999999998E-4</v>
      </c>
      <c r="L33" s="5"/>
      <c r="M33" s="5"/>
      <c r="N33" s="76"/>
      <c r="O33" s="5"/>
      <c r="P33" s="5"/>
      <c r="U33" s="19"/>
      <c r="W33" s="7"/>
      <c r="X33" s="4"/>
      <c r="Z33" s="9"/>
    </row>
    <row r="34" spans="1:26" x14ac:dyDescent="0.2">
      <c r="A34" s="5"/>
      <c r="B34" s="76"/>
      <c r="C34" s="5"/>
      <c r="D34" s="5" t="s">
        <v>23</v>
      </c>
      <c r="E34" s="76">
        <v>5.7598000000000002E-4</v>
      </c>
      <c r="F34" s="5"/>
      <c r="G34" s="5" t="s">
        <v>112</v>
      </c>
      <c r="H34" s="76">
        <v>4.9151000000000002E-4</v>
      </c>
      <c r="I34" s="5"/>
      <c r="J34" s="5" t="s">
        <v>304</v>
      </c>
      <c r="K34" s="76">
        <f>K13*4</f>
        <v>4.9355999999999998E-4</v>
      </c>
      <c r="L34" s="5"/>
      <c r="M34" s="5"/>
      <c r="N34" s="76"/>
      <c r="O34" s="5"/>
      <c r="P34" s="5"/>
      <c r="U34" s="19"/>
      <c r="W34" s="7"/>
      <c r="X34" s="4"/>
      <c r="Z34" s="4"/>
    </row>
    <row r="35" spans="1:26" x14ac:dyDescent="0.2">
      <c r="A35" s="5"/>
      <c r="B35" s="76"/>
      <c r="C35" s="5"/>
      <c r="D35" s="5" t="s">
        <v>22</v>
      </c>
      <c r="E35" s="76">
        <v>6.4190999999999998E-4</v>
      </c>
      <c r="F35" s="5"/>
      <c r="G35" s="5" t="s">
        <v>293</v>
      </c>
      <c r="H35" s="76">
        <f>H15*4</f>
        <v>5.0743999999999995E-4</v>
      </c>
      <c r="I35" s="5"/>
      <c r="J35" s="5" t="s">
        <v>268</v>
      </c>
      <c r="K35" s="76">
        <v>5.3224000000000001E-4</v>
      </c>
      <c r="L35" s="5"/>
      <c r="M35" s="5"/>
      <c r="N35" s="76"/>
      <c r="O35" s="5"/>
      <c r="P35" s="5"/>
      <c r="U35" s="19"/>
      <c r="W35" s="7"/>
      <c r="X35" s="4"/>
      <c r="Z35" s="4"/>
    </row>
    <row r="36" spans="1:26" x14ac:dyDescent="0.2">
      <c r="A36" s="5"/>
      <c r="B36" s="76"/>
      <c r="C36" s="5"/>
      <c r="D36" s="5" t="s">
        <v>21</v>
      </c>
      <c r="E36" s="76">
        <v>6.6542000000000001E-4</v>
      </c>
      <c r="F36" s="5"/>
      <c r="G36" s="5" t="s">
        <v>113</v>
      </c>
      <c r="H36" s="76">
        <v>5.5223000000000002E-4</v>
      </c>
      <c r="I36" s="5"/>
      <c r="J36" s="5" t="s">
        <v>269</v>
      </c>
      <c r="K36" s="76">
        <v>5.4852000000000004E-4</v>
      </c>
      <c r="L36" s="5"/>
      <c r="M36" s="5"/>
      <c r="N36" s="76"/>
      <c r="O36" s="5"/>
      <c r="P36" s="5"/>
    </row>
    <row r="37" spans="1:26" x14ac:dyDescent="0.2">
      <c r="A37" s="5"/>
      <c r="B37" s="76"/>
      <c r="C37" s="5"/>
      <c r="D37" s="5" t="s">
        <v>20</v>
      </c>
      <c r="E37" s="76">
        <v>7.0697000000000002E-4</v>
      </c>
      <c r="F37" s="5"/>
      <c r="G37" s="5" t="s">
        <v>114</v>
      </c>
      <c r="H37" s="76">
        <v>5.6961999999999996E-4</v>
      </c>
      <c r="I37" s="5"/>
      <c r="J37" s="5" t="s">
        <v>305</v>
      </c>
      <c r="K37" s="76">
        <v>5.9132E-4</v>
      </c>
      <c r="L37" s="5"/>
      <c r="M37" s="5"/>
      <c r="N37" s="76"/>
      <c r="O37" s="5"/>
      <c r="P37" s="5"/>
      <c r="W37" s="4"/>
      <c r="Z37" s="4"/>
    </row>
    <row r="38" spans="1:26" x14ac:dyDescent="0.2">
      <c r="A38" s="5"/>
      <c r="B38" s="5"/>
      <c r="C38" s="5"/>
      <c r="D38" s="5" t="s">
        <v>19</v>
      </c>
      <c r="E38" s="76">
        <v>7.4983999999999999E-4</v>
      </c>
      <c r="F38" s="5"/>
      <c r="G38" s="5" t="s">
        <v>153</v>
      </c>
      <c r="H38" s="76">
        <f>H17*4</f>
        <v>5.9336000000000002E-4</v>
      </c>
      <c r="I38" s="5"/>
      <c r="J38" s="5" t="s">
        <v>270</v>
      </c>
      <c r="K38" s="76">
        <v>6.1132000000000005E-4</v>
      </c>
      <c r="L38" s="5"/>
      <c r="M38" s="5"/>
      <c r="N38" s="5"/>
      <c r="O38" s="5"/>
      <c r="P38" s="5"/>
    </row>
    <row r="39" spans="1:26" x14ac:dyDescent="0.2">
      <c r="A39" s="5"/>
      <c r="B39" s="5"/>
      <c r="C39" s="5"/>
      <c r="D39" s="5" t="s">
        <v>18</v>
      </c>
      <c r="E39" s="76">
        <v>7.9889000000000002E-4</v>
      </c>
      <c r="F39" s="5"/>
      <c r="G39" s="5" t="s">
        <v>115</v>
      </c>
      <c r="H39" s="76">
        <v>6.3477E-4</v>
      </c>
      <c r="I39" s="5"/>
      <c r="J39" s="5" t="s">
        <v>271</v>
      </c>
      <c r="K39" s="76">
        <v>6.8004999999999997E-4</v>
      </c>
      <c r="L39" s="5"/>
      <c r="M39" s="5"/>
      <c r="N39" s="76"/>
      <c r="O39" s="5"/>
      <c r="P39" s="76"/>
      <c r="Z39" s="4"/>
    </row>
    <row r="40" spans="1:26" x14ac:dyDescent="0.2">
      <c r="A40" s="5"/>
      <c r="B40" s="5"/>
      <c r="C40" s="5"/>
      <c r="D40" s="5" t="s">
        <v>15</v>
      </c>
      <c r="E40" s="76">
        <v>8.4614E-4</v>
      </c>
      <c r="F40" s="5"/>
      <c r="G40" s="5" t="s">
        <v>294</v>
      </c>
      <c r="H40" s="76">
        <f>H19*4</f>
        <v>6.9523999999999996E-4</v>
      </c>
      <c r="I40" s="5"/>
      <c r="J40" s="5" t="s">
        <v>306</v>
      </c>
      <c r="K40" s="76">
        <f>K17*4</f>
        <v>7.2367999999999998E-4</v>
      </c>
      <c r="L40" s="5"/>
      <c r="M40" s="5"/>
      <c r="N40" s="5"/>
      <c r="O40" s="5"/>
      <c r="P40" s="5"/>
      <c r="Z40" s="4"/>
    </row>
    <row r="41" spans="1:26" x14ac:dyDescent="0.2">
      <c r="A41" s="5"/>
      <c r="B41" s="5"/>
      <c r="C41" s="5"/>
      <c r="D41" s="5" t="s">
        <v>17</v>
      </c>
      <c r="E41" s="76">
        <v>8.9304E-4</v>
      </c>
      <c r="F41" s="5"/>
      <c r="G41" s="5" t="s">
        <v>116</v>
      </c>
      <c r="H41" s="76">
        <v>7.0534999999999999E-4</v>
      </c>
      <c r="I41" s="5"/>
      <c r="J41" s="5"/>
      <c r="K41" s="5"/>
      <c r="L41" s="5"/>
      <c r="M41" s="5"/>
      <c r="N41" s="76"/>
      <c r="O41" s="5"/>
      <c r="P41" s="5"/>
      <c r="Z41" s="4"/>
    </row>
    <row r="42" spans="1:26" x14ac:dyDescent="0.2">
      <c r="A42" s="5"/>
      <c r="B42" s="5"/>
      <c r="C42" s="5"/>
      <c r="D42" s="5" t="s">
        <v>97</v>
      </c>
      <c r="E42" s="76">
        <v>9.4123999999999998E-4</v>
      </c>
      <c r="F42" s="5"/>
      <c r="G42" s="5" t="s">
        <v>117</v>
      </c>
      <c r="H42" s="76">
        <v>7.3039000000000003E-4</v>
      </c>
      <c r="I42" s="5"/>
      <c r="J42" s="5"/>
      <c r="K42" s="5"/>
      <c r="L42" s="5"/>
      <c r="M42" s="5"/>
      <c r="N42" s="76"/>
      <c r="O42" s="5"/>
      <c r="P42" s="5"/>
      <c r="Z42" s="4"/>
    </row>
    <row r="43" spans="1:26" x14ac:dyDescent="0.2">
      <c r="A43" s="5"/>
      <c r="B43" s="5"/>
      <c r="C43" s="5"/>
      <c r="D43" s="5" t="s">
        <v>98</v>
      </c>
      <c r="E43" s="76">
        <v>9.8868999999999997E-4</v>
      </c>
      <c r="F43" s="5"/>
      <c r="G43" s="5" t="s">
        <v>118</v>
      </c>
      <c r="H43" s="76">
        <v>7.7682000000000001E-4</v>
      </c>
      <c r="I43" s="5"/>
      <c r="J43" s="5"/>
      <c r="K43" s="5"/>
      <c r="L43" s="5"/>
      <c r="M43" s="5"/>
      <c r="N43" s="76"/>
      <c r="O43" s="5"/>
      <c r="P43" s="5"/>
      <c r="Z43" s="4"/>
    </row>
    <row r="44" spans="1:26" x14ac:dyDescent="0.2">
      <c r="A44" s="5"/>
      <c r="B44" s="5"/>
      <c r="C44" s="5"/>
      <c r="D44" s="5" t="s">
        <v>99</v>
      </c>
      <c r="E44" s="76">
        <v>1.15011E-3</v>
      </c>
      <c r="F44" s="5"/>
      <c r="G44" s="5" t="s">
        <v>119</v>
      </c>
      <c r="H44" s="76">
        <v>8.2779999999999996E-4</v>
      </c>
      <c r="I44" s="5"/>
      <c r="J44" s="5"/>
      <c r="K44" s="5"/>
      <c r="L44" s="5"/>
      <c r="M44" s="5"/>
      <c r="N44" s="5"/>
      <c r="O44" s="5"/>
      <c r="P44" s="5"/>
      <c r="Z44" s="4"/>
    </row>
    <row r="45" spans="1:26" x14ac:dyDescent="0.2">
      <c r="A45" s="5"/>
      <c r="B45" s="5"/>
      <c r="C45" s="5"/>
      <c r="D45" s="5"/>
      <c r="E45" s="76"/>
      <c r="F45" s="5"/>
      <c r="G45" s="5" t="s">
        <v>120</v>
      </c>
      <c r="H45" s="76">
        <v>8.7717999999999997E-4</v>
      </c>
      <c r="I45" s="5"/>
      <c r="J45" s="5"/>
      <c r="K45" s="5"/>
      <c r="L45" s="5"/>
      <c r="M45" s="5"/>
      <c r="N45" s="5"/>
      <c r="O45" s="5"/>
      <c r="P45" s="5"/>
      <c r="Z45" s="4"/>
    </row>
    <row r="46" spans="1:26" x14ac:dyDescent="0.2">
      <c r="A46" s="5"/>
      <c r="B46" s="5"/>
      <c r="C46" s="5"/>
      <c r="D46" s="5"/>
      <c r="E46" s="76"/>
      <c r="F46" s="5"/>
      <c r="G46" s="5" t="s">
        <v>295</v>
      </c>
      <c r="H46" s="76">
        <f>H22*4</f>
        <v>9.5507999999999997E-4</v>
      </c>
      <c r="I46" s="5"/>
      <c r="J46" s="5"/>
      <c r="K46" s="5"/>
      <c r="L46" s="5"/>
      <c r="M46" s="5"/>
      <c r="N46" s="5"/>
      <c r="O46" s="5"/>
      <c r="P46" s="5"/>
      <c r="Z46" s="4"/>
    </row>
    <row r="47" spans="1:26" x14ac:dyDescent="0.2">
      <c r="A47" s="5"/>
      <c r="B47" s="5"/>
      <c r="C47" s="5"/>
      <c r="D47" s="5"/>
      <c r="E47" s="76"/>
      <c r="F47" s="5"/>
      <c r="G47" s="5" t="s">
        <v>121</v>
      </c>
      <c r="H47" s="76">
        <v>9.6832999999999999E-4</v>
      </c>
      <c r="I47" s="5"/>
      <c r="J47" s="5"/>
      <c r="K47" s="5"/>
      <c r="L47" s="5"/>
      <c r="M47" s="5"/>
      <c r="N47" s="5"/>
      <c r="O47" s="5"/>
      <c r="P47" s="5"/>
      <c r="Z47" s="4"/>
    </row>
    <row r="48" spans="1:26" x14ac:dyDescent="0.2">
      <c r="A48" s="5"/>
      <c r="B48" s="5"/>
      <c r="C48" s="5"/>
      <c r="D48" s="5"/>
      <c r="E48" s="5"/>
      <c r="F48" s="5"/>
      <c r="G48" s="5" t="s">
        <v>296</v>
      </c>
      <c r="H48" s="76">
        <f>H25*4</f>
        <v>1.1731999999999999E-3</v>
      </c>
      <c r="I48" s="5"/>
      <c r="J48" s="5"/>
      <c r="K48" s="5"/>
      <c r="L48" s="5"/>
      <c r="M48" s="5"/>
      <c r="N48" s="5"/>
      <c r="O48" s="5"/>
      <c r="P48" s="5"/>
      <c r="Z48" s="4"/>
    </row>
    <row r="49" spans="2:26" x14ac:dyDescent="0.2">
      <c r="Z49" s="4"/>
    </row>
    <row r="50" spans="2:26" x14ac:dyDescent="0.2">
      <c r="Z50" s="4"/>
    </row>
    <row r="51" spans="2:26" x14ac:dyDescent="0.2">
      <c r="Z51" s="4"/>
    </row>
    <row r="52" spans="2:26" x14ac:dyDescent="0.2">
      <c r="B52" s="97" t="s">
        <v>273</v>
      </c>
      <c r="C52" s="97"/>
      <c r="E52" s="97" t="s">
        <v>274</v>
      </c>
      <c r="F52" s="97"/>
      <c r="H52" s="97" t="s">
        <v>275</v>
      </c>
      <c r="I52" s="97"/>
      <c r="K52" s="97" t="s">
        <v>272</v>
      </c>
      <c r="L52" s="97"/>
      <c r="N52" s="78"/>
      <c r="O52" s="78"/>
      <c r="Q52" s="78"/>
      <c r="R52" s="78"/>
    </row>
    <row r="53" spans="2:26" x14ac:dyDescent="0.2">
      <c r="B53" s="76">
        <v>1.0849999999999999E-5</v>
      </c>
      <c r="C53" s="5" t="s">
        <v>25</v>
      </c>
      <c r="D53" s="5"/>
      <c r="E53" s="76">
        <v>5.524E-5</v>
      </c>
      <c r="F53" s="5" t="s">
        <v>77</v>
      </c>
      <c r="G53" s="5"/>
      <c r="H53" s="76">
        <f>H66/4</f>
        <v>5.2544999999999999E-5</v>
      </c>
      <c r="I53" s="5" t="s">
        <v>286</v>
      </c>
      <c r="J53" s="5"/>
      <c r="K53" s="76">
        <v>7.8620000000000003E-5</v>
      </c>
      <c r="L53" s="5" t="s">
        <v>249</v>
      </c>
      <c r="M53" s="5"/>
      <c r="N53" s="76"/>
      <c r="O53" s="5"/>
      <c r="Q53" s="4"/>
      <c r="Z53" s="4"/>
    </row>
    <row r="54" spans="2:26" x14ac:dyDescent="0.2">
      <c r="B54" s="76">
        <v>1.418E-5</v>
      </c>
      <c r="C54" s="5" t="s">
        <v>26</v>
      </c>
      <c r="D54" s="5"/>
      <c r="E54" s="76">
        <v>6.2150000000000006E-5</v>
      </c>
      <c r="F54" s="5" t="s">
        <v>78</v>
      </c>
      <c r="G54" s="5"/>
      <c r="H54" s="76">
        <f>H67/4</f>
        <v>5.9692499999999998E-5</v>
      </c>
      <c r="I54" s="5" t="s">
        <v>287</v>
      </c>
      <c r="J54" s="5"/>
      <c r="K54" s="76">
        <v>8.6840000000000002E-5</v>
      </c>
      <c r="L54" s="5" t="s">
        <v>250</v>
      </c>
      <c r="M54" s="5"/>
      <c r="N54" s="76"/>
      <c r="O54" s="5"/>
      <c r="Q54" s="4"/>
    </row>
    <row r="55" spans="2:26" x14ac:dyDescent="0.2">
      <c r="B55" s="76">
        <v>1.6010000000000001E-5</v>
      </c>
      <c r="C55" s="5" t="s">
        <v>27</v>
      </c>
      <c r="D55" s="5"/>
      <c r="E55" s="76">
        <v>6.9469999999999997E-5</v>
      </c>
      <c r="F55" s="5" t="s">
        <v>79</v>
      </c>
      <c r="G55" s="5"/>
      <c r="H55" s="76">
        <v>8.106E-5</v>
      </c>
      <c r="I55" s="5" t="s">
        <v>6</v>
      </c>
      <c r="J55" s="5"/>
      <c r="K55" s="76">
        <v>9.6000000000000002E-5</v>
      </c>
      <c r="L55" s="5" t="s">
        <v>251</v>
      </c>
      <c r="M55" s="5"/>
      <c r="N55" s="76"/>
      <c r="O55" s="5"/>
      <c r="Q55" s="4"/>
      <c r="Z55" s="4"/>
    </row>
    <row r="56" spans="2:26" x14ac:dyDescent="0.2">
      <c r="B56" s="76">
        <v>1.7940000000000001E-5</v>
      </c>
      <c r="C56" s="5" t="s">
        <v>28</v>
      </c>
      <c r="D56" s="5"/>
      <c r="E56" s="76">
        <v>7.4950000000000006E-5</v>
      </c>
      <c r="F56" s="5" t="s">
        <v>80</v>
      </c>
      <c r="G56" s="5"/>
      <c r="H56" s="76">
        <v>8.9439999999999997E-5</v>
      </c>
      <c r="I56" s="5" t="s">
        <v>10</v>
      </c>
      <c r="J56" s="5"/>
      <c r="K56" s="76">
        <v>1.0509E-4</v>
      </c>
      <c r="L56" s="5" t="s">
        <v>252</v>
      </c>
      <c r="M56" s="5"/>
      <c r="N56" s="76"/>
      <c r="O56" s="5"/>
      <c r="Q56" s="4"/>
    </row>
    <row r="57" spans="2:26" x14ac:dyDescent="0.2">
      <c r="B57" s="76">
        <v>1.999E-5</v>
      </c>
      <c r="C57" s="5" t="s">
        <v>29</v>
      </c>
      <c r="D57" s="5"/>
      <c r="E57" s="76">
        <v>8.2929999999999994E-5</v>
      </c>
      <c r="F57" s="5" t="s">
        <v>81</v>
      </c>
      <c r="G57" s="5"/>
      <c r="H57" s="76">
        <v>9.8759999999999996E-5</v>
      </c>
      <c r="I57" s="5" t="s">
        <v>5</v>
      </c>
      <c r="J57" s="5"/>
      <c r="K57" s="76">
        <v>1.1353000000000001E-4</v>
      </c>
      <c r="L57" s="5" t="s">
        <v>253</v>
      </c>
      <c r="M57" s="5"/>
      <c r="N57" s="76"/>
      <c r="O57" s="5"/>
      <c r="Q57" s="4"/>
      <c r="Z57" s="4"/>
    </row>
    <row r="58" spans="2:26" x14ac:dyDescent="0.2">
      <c r="B58" s="76">
        <v>2.215E-5</v>
      </c>
      <c r="C58" s="5" t="s">
        <v>30</v>
      </c>
      <c r="D58" s="5"/>
      <c r="E58" s="76">
        <v>9.1840000000000002E-5</v>
      </c>
      <c r="F58" s="5" t="s">
        <v>82</v>
      </c>
      <c r="G58" s="5"/>
      <c r="H58" s="76">
        <v>1.0801E-4</v>
      </c>
      <c r="I58" s="5" t="s">
        <v>7</v>
      </c>
      <c r="J58" s="5"/>
      <c r="K58" s="76">
        <v>1.2339E-4</v>
      </c>
      <c r="L58" s="5" t="s">
        <v>254</v>
      </c>
      <c r="M58" s="5"/>
      <c r="N58" s="76"/>
      <c r="O58" s="5"/>
      <c r="Q58" s="4"/>
    </row>
    <row r="59" spans="2:26" x14ac:dyDescent="0.2">
      <c r="B59" s="76">
        <v>2.442E-5</v>
      </c>
      <c r="C59" s="5" t="s">
        <v>31</v>
      </c>
      <c r="D59" s="5"/>
      <c r="E59" s="76">
        <v>1.0857E-4</v>
      </c>
      <c r="F59" s="5" t="s">
        <v>83</v>
      </c>
      <c r="G59" s="5"/>
      <c r="H59" s="76">
        <v>1.1682E-4</v>
      </c>
      <c r="I59" s="5" t="s">
        <v>9</v>
      </c>
      <c r="J59" s="5"/>
      <c r="K59" s="76">
        <v>1.3253000000000001E-4</v>
      </c>
      <c r="L59" s="5" t="s">
        <v>255</v>
      </c>
      <c r="M59" s="5"/>
      <c r="N59" s="76"/>
      <c r="O59" s="5"/>
      <c r="Q59" s="4"/>
    </row>
    <row r="60" spans="2:26" x14ac:dyDescent="0.2">
      <c r="B60" s="76">
        <v>2.6800000000000001E-5</v>
      </c>
      <c r="C60" s="5" t="s">
        <v>32</v>
      </c>
      <c r="D60" s="5"/>
      <c r="E60" s="76">
        <f>(E75+0.00002)/4</f>
        <v>1.1253500000000001E-4</v>
      </c>
      <c r="F60" s="5" t="s">
        <v>282</v>
      </c>
      <c r="G60" s="5"/>
      <c r="H60" s="76">
        <v>1.2685999999999999E-4</v>
      </c>
      <c r="I60" s="5" t="s">
        <v>100</v>
      </c>
      <c r="J60" s="5"/>
      <c r="K60" s="76">
        <v>1.4396999999999999E-4</v>
      </c>
      <c r="L60" s="5" t="s">
        <v>256</v>
      </c>
      <c r="M60" s="5"/>
      <c r="N60" s="76"/>
      <c r="O60" s="5"/>
    </row>
    <row r="61" spans="2:26" x14ac:dyDescent="0.2">
      <c r="B61" s="76">
        <v>2.9300000000000001E-5</v>
      </c>
      <c r="C61" s="5" t="s">
        <v>33</v>
      </c>
      <c r="D61" s="5"/>
      <c r="E61" s="76">
        <v>1.2671000000000001E-4</v>
      </c>
      <c r="F61" s="5" t="s">
        <v>84</v>
      </c>
      <c r="G61" s="5"/>
      <c r="H61" s="76">
        <v>1.3640000000000001E-4</v>
      </c>
      <c r="I61" s="5" t="s">
        <v>101</v>
      </c>
      <c r="J61" s="5"/>
      <c r="K61" s="76">
        <v>1.6838000000000001E-4</v>
      </c>
      <c r="L61" s="5" t="s">
        <v>257</v>
      </c>
      <c r="M61" s="5"/>
      <c r="N61" s="76"/>
      <c r="O61" s="5"/>
      <c r="Z61" s="4"/>
    </row>
    <row r="62" spans="2:26" x14ac:dyDescent="0.2">
      <c r="B62" s="76">
        <v>3.1900000000000003E-5</v>
      </c>
      <c r="C62" s="5" t="s">
        <v>11</v>
      </c>
      <c r="D62" s="5"/>
      <c r="E62" s="76">
        <v>1.4666000000000001E-4</v>
      </c>
      <c r="F62" s="5" t="s">
        <v>85</v>
      </c>
      <c r="G62" s="5"/>
      <c r="H62" s="76">
        <v>1.4834000000000001E-4</v>
      </c>
      <c r="I62" s="5" t="s">
        <v>102</v>
      </c>
      <c r="J62" s="5"/>
      <c r="K62" s="76">
        <v>1.8092E-4</v>
      </c>
      <c r="L62" s="5" t="s">
        <v>258</v>
      </c>
      <c r="M62" s="5"/>
      <c r="N62" s="76"/>
      <c r="O62" s="5"/>
    </row>
    <row r="63" spans="2:26" x14ac:dyDescent="0.2">
      <c r="B63" s="76">
        <v>3.4100000000000002E-5</v>
      </c>
      <c r="C63" s="5" t="s">
        <v>307</v>
      </c>
      <c r="D63" s="5"/>
      <c r="E63" s="76">
        <v>1.7236000000000001E-4</v>
      </c>
      <c r="F63" s="5" t="s">
        <v>14</v>
      </c>
      <c r="G63" s="5"/>
      <c r="H63" s="76">
        <f>H84/4</f>
        <v>1.586925E-4</v>
      </c>
      <c r="I63" s="5" t="s">
        <v>152</v>
      </c>
      <c r="J63" s="5"/>
      <c r="K63" s="76">
        <v>1.9201999999999999E-4</v>
      </c>
      <c r="L63" s="5" t="s">
        <v>297</v>
      </c>
      <c r="M63" s="5"/>
      <c r="N63" s="76"/>
      <c r="O63" s="5"/>
    </row>
    <row r="64" spans="2:26" x14ac:dyDescent="0.2">
      <c r="B64" s="76">
        <v>3.7440000000000001E-5</v>
      </c>
      <c r="C64" s="5" t="s">
        <v>12</v>
      </c>
      <c r="D64" s="5"/>
      <c r="E64" s="76">
        <v>1.9347E-4</v>
      </c>
      <c r="F64" s="5" t="s">
        <v>86</v>
      </c>
      <c r="G64" s="5"/>
      <c r="H64" s="76">
        <v>1.7380999999999999E-4</v>
      </c>
      <c r="I64" s="5" t="s">
        <v>103</v>
      </c>
      <c r="J64" s="5"/>
      <c r="K64" s="76">
        <v>2.0352E-4</v>
      </c>
      <c r="L64" s="5" t="s">
        <v>259</v>
      </c>
      <c r="M64" s="5"/>
      <c r="N64" s="76"/>
      <c r="O64" s="5"/>
    </row>
    <row r="65" spans="2:15" x14ac:dyDescent="0.2">
      <c r="B65" s="76">
        <v>4.0370000000000001E-5</v>
      </c>
      <c r="C65" s="5" t="s">
        <v>68</v>
      </c>
      <c r="D65" s="5"/>
      <c r="E65" s="76">
        <v>2.1589999999999999E-4</v>
      </c>
      <c r="F65" s="5" t="s">
        <v>87</v>
      </c>
      <c r="G65" s="5"/>
      <c r="H65" s="76">
        <v>1.8660000000000001E-4</v>
      </c>
      <c r="I65" s="5" t="s">
        <v>8</v>
      </c>
      <c r="J65" s="5"/>
      <c r="K65" s="76">
        <v>2.2751999999999999E-4</v>
      </c>
      <c r="L65" s="5" t="s">
        <v>260</v>
      </c>
      <c r="M65" s="5"/>
      <c r="N65" s="76"/>
      <c r="O65" s="5"/>
    </row>
    <row r="66" spans="2:15" x14ac:dyDescent="0.2">
      <c r="B66" s="76">
        <v>4.3420000000000001E-5</v>
      </c>
      <c r="C66" s="5" t="s">
        <v>67</v>
      </c>
      <c r="D66" s="5"/>
      <c r="E66" s="76">
        <v>2.3964E-4</v>
      </c>
      <c r="F66" s="5" t="s">
        <v>88</v>
      </c>
      <c r="G66" s="5"/>
      <c r="H66" s="76">
        <v>2.1018E-4</v>
      </c>
      <c r="I66" s="5" t="s">
        <v>104</v>
      </c>
      <c r="J66" s="5"/>
      <c r="K66" s="76">
        <v>2.4006E-4</v>
      </c>
      <c r="L66" s="5" t="s">
        <v>261</v>
      </c>
      <c r="M66" s="5"/>
      <c r="N66" s="76"/>
      <c r="O66" s="5"/>
    </row>
    <row r="67" spans="2:15" x14ac:dyDescent="0.2">
      <c r="B67" s="76">
        <v>4.9839999999999997E-5</v>
      </c>
      <c r="C67" s="5" t="s">
        <v>69</v>
      </c>
      <c r="D67" s="5"/>
      <c r="E67" s="76">
        <f>E88/4</f>
        <v>2.4717249999999999E-4</v>
      </c>
      <c r="F67" s="5" t="s">
        <v>283</v>
      </c>
      <c r="G67" s="5"/>
      <c r="H67" s="76">
        <v>2.3876999999999999E-4</v>
      </c>
      <c r="I67" s="5" t="s">
        <v>105</v>
      </c>
      <c r="J67" s="5"/>
      <c r="K67" s="76">
        <v>2.5417000000000001E-4</v>
      </c>
      <c r="L67" s="5" t="s">
        <v>262</v>
      </c>
      <c r="M67" s="5"/>
      <c r="N67" s="76"/>
      <c r="O67" s="5"/>
    </row>
    <row r="68" spans="2:15" x14ac:dyDescent="0.2">
      <c r="B68" s="76">
        <v>5.1999999999999997E-5</v>
      </c>
      <c r="C68" s="5" t="s">
        <v>308</v>
      </c>
      <c r="D68" s="5"/>
      <c r="E68" s="76">
        <v>2.6470999999999998E-4</v>
      </c>
      <c r="F68" s="5" t="s">
        <v>89</v>
      </c>
      <c r="G68" s="5"/>
      <c r="H68" s="76">
        <v>2.5365000000000001E-4</v>
      </c>
      <c r="I68" s="5" t="s">
        <v>106</v>
      </c>
      <c r="J68" s="5"/>
      <c r="K68" s="76">
        <f>K67+0.0000151</f>
        <v>2.6927E-4</v>
      </c>
      <c r="L68" s="5" t="s">
        <v>298</v>
      </c>
      <c r="M68" s="5"/>
      <c r="N68" s="76"/>
      <c r="O68" s="5"/>
    </row>
    <row r="69" spans="2:15" x14ac:dyDescent="0.2">
      <c r="B69" s="76">
        <v>5.6709999999999997E-5</v>
      </c>
      <c r="C69" s="5" t="s">
        <v>70</v>
      </c>
      <c r="D69" s="5"/>
      <c r="E69" s="76">
        <v>2.7932E-4</v>
      </c>
      <c r="F69" s="5" t="s">
        <v>90</v>
      </c>
      <c r="G69" s="5"/>
      <c r="H69" s="76">
        <v>2.6830000000000002E-4</v>
      </c>
      <c r="I69" s="5" t="s">
        <v>107</v>
      </c>
      <c r="J69" s="5"/>
      <c r="K69" s="76">
        <f>K68+0.0000183</f>
        <v>2.8757000000000001E-4</v>
      </c>
      <c r="L69" s="5" t="s">
        <v>299</v>
      </c>
      <c r="M69" s="5"/>
      <c r="N69" s="76"/>
      <c r="O69" s="5"/>
    </row>
    <row r="70" spans="2:15" x14ac:dyDescent="0.2">
      <c r="B70" s="76">
        <v>5.9700000000000001E-5</v>
      </c>
      <c r="C70" s="5" t="s">
        <v>309</v>
      </c>
      <c r="D70" s="5"/>
      <c r="E70" s="76">
        <f>E56*4</f>
        <v>2.9980000000000002E-4</v>
      </c>
      <c r="F70" s="5" t="s">
        <v>285</v>
      </c>
      <c r="G70" s="5"/>
      <c r="H70" s="76">
        <f>H69+0.000025</f>
        <v>2.9330000000000003E-4</v>
      </c>
      <c r="I70" s="5" t="s">
        <v>288</v>
      </c>
      <c r="J70" s="5"/>
      <c r="K70" s="76">
        <v>3.0063000000000003E-4</v>
      </c>
      <c r="L70" s="5" t="s">
        <v>263</v>
      </c>
      <c r="M70" s="5"/>
      <c r="N70" s="76"/>
      <c r="O70" s="5"/>
    </row>
    <row r="71" spans="2:15" x14ac:dyDescent="0.2">
      <c r="B71" s="76">
        <v>6.402E-5</v>
      </c>
      <c r="C71" s="5" t="s">
        <v>13</v>
      </c>
      <c r="D71" s="5"/>
      <c r="E71" s="76">
        <v>3.2278999999999999E-4</v>
      </c>
      <c r="F71" s="5" t="s">
        <v>91</v>
      </c>
      <c r="G71" s="5"/>
      <c r="H71" s="76">
        <v>3.1125E-4</v>
      </c>
      <c r="I71" s="5" t="s">
        <v>108</v>
      </c>
      <c r="J71" s="5"/>
      <c r="K71" s="76">
        <f>K53*4</f>
        <v>3.1448000000000001E-4</v>
      </c>
      <c r="L71" s="5" t="s">
        <v>300</v>
      </c>
      <c r="M71" s="5"/>
      <c r="N71" s="76"/>
      <c r="O71" s="5"/>
    </row>
    <row r="72" spans="2:15" x14ac:dyDescent="0.2">
      <c r="B72" s="76">
        <v>7.1169999999999998E-5</v>
      </c>
      <c r="C72" s="5" t="s">
        <v>71</v>
      </c>
      <c r="D72" s="5"/>
      <c r="E72" s="76">
        <v>3.5181999999999998E-4</v>
      </c>
      <c r="F72" s="5" t="s">
        <v>92</v>
      </c>
      <c r="G72" s="5"/>
      <c r="H72" s="76">
        <f>H55*4</f>
        <v>3.2424E-4</v>
      </c>
      <c r="I72" s="5" t="s">
        <v>289</v>
      </c>
      <c r="J72" s="5"/>
      <c r="K72" s="76">
        <v>3.4808000000000001E-4</v>
      </c>
      <c r="L72" s="5" t="s">
        <v>264</v>
      </c>
      <c r="M72" s="5"/>
      <c r="N72" s="76"/>
      <c r="O72" s="5"/>
    </row>
    <row r="73" spans="2:15" x14ac:dyDescent="0.2">
      <c r="B73" s="76">
        <v>7.9969999999999995E-5</v>
      </c>
      <c r="C73" s="5" t="s">
        <v>72</v>
      </c>
      <c r="D73" s="5"/>
      <c r="E73" s="76">
        <v>3.8215999999999999E-4</v>
      </c>
      <c r="F73" s="5" t="s">
        <v>16</v>
      </c>
      <c r="G73" s="5"/>
      <c r="H73" s="76">
        <v>3.6722000000000002E-4</v>
      </c>
      <c r="I73" s="5" t="s">
        <v>109</v>
      </c>
      <c r="J73" s="5"/>
      <c r="K73" s="76">
        <f>K55*4</f>
        <v>3.8400000000000001E-4</v>
      </c>
      <c r="L73" s="5" t="s">
        <v>301</v>
      </c>
      <c r="M73" s="5"/>
      <c r="N73" s="76"/>
      <c r="O73" s="5"/>
    </row>
    <row r="74" spans="2:15" x14ac:dyDescent="0.2">
      <c r="B74" s="76">
        <v>8.8609999999999994E-5</v>
      </c>
      <c r="C74" s="5" t="s">
        <v>73</v>
      </c>
      <c r="D74" s="5"/>
      <c r="E74" s="76">
        <v>4.1382000000000002E-4</v>
      </c>
      <c r="F74" s="5" t="s">
        <v>93</v>
      </c>
      <c r="G74" s="5"/>
      <c r="H74" s="76">
        <f>H57*4</f>
        <v>3.9503999999999999E-4</v>
      </c>
      <c r="I74" s="5" t="s">
        <v>290</v>
      </c>
      <c r="J74" s="5"/>
      <c r="K74" s="76">
        <v>4.0245E-4</v>
      </c>
      <c r="L74" s="5" t="s">
        <v>265</v>
      </c>
      <c r="M74" s="5"/>
      <c r="N74" s="76"/>
      <c r="O74" s="5"/>
    </row>
    <row r="75" spans="2:15" x14ac:dyDescent="0.2">
      <c r="B75" s="76">
        <f>B59*4</f>
        <v>9.768E-5</v>
      </c>
      <c r="C75" s="5" t="s">
        <v>310</v>
      </c>
      <c r="D75" s="5"/>
      <c r="E75" s="76">
        <v>4.3014000000000003E-4</v>
      </c>
      <c r="F75" s="5" t="s">
        <v>94</v>
      </c>
      <c r="G75" s="5"/>
      <c r="H75" s="76">
        <v>4.1751000000000001E-4</v>
      </c>
      <c r="I75" s="5" t="s">
        <v>110</v>
      </c>
      <c r="J75" s="5"/>
      <c r="K75" s="76">
        <f>K56*4</f>
        <v>4.2035999999999999E-4</v>
      </c>
      <c r="L75" s="5" t="s">
        <v>302</v>
      </c>
      <c r="M75" s="5"/>
      <c r="N75" s="76"/>
      <c r="O75" s="5"/>
    </row>
    <row r="76" spans="2:15" x14ac:dyDescent="0.2">
      <c r="B76" s="76">
        <v>1.0721999999999999E-4</v>
      </c>
      <c r="C76" s="5" t="s">
        <v>74</v>
      </c>
      <c r="D76" s="5"/>
      <c r="E76" s="76">
        <f>E60*4</f>
        <v>4.5014000000000002E-4</v>
      </c>
      <c r="F76" s="5" t="s">
        <v>284</v>
      </c>
      <c r="G76" s="5"/>
      <c r="H76" s="76">
        <f>H58*4</f>
        <v>4.3204000000000002E-4</v>
      </c>
      <c r="I76" s="5" t="s">
        <v>291</v>
      </c>
      <c r="J76" s="5"/>
      <c r="K76" s="76">
        <v>4.3634000000000001E-4</v>
      </c>
      <c r="L76" s="5" t="s">
        <v>266</v>
      </c>
      <c r="M76" s="5"/>
      <c r="N76" s="5"/>
      <c r="O76" s="5"/>
    </row>
    <row r="77" spans="2:15" x14ac:dyDescent="0.2">
      <c r="B77" s="76">
        <v>1.2760000000000001E-4</v>
      </c>
      <c r="C77" s="5" t="s">
        <v>75</v>
      </c>
      <c r="D77" s="5"/>
      <c r="E77" s="76">
        <v>4.8108999999999999E-4</v>
      </c>
      <c r="F77" s="5" t="s">
        <v>95</v>
      </c>
      <c r="G77" s="5"/>
      <c r="H77" s="76">
        <v>4.5289000000000001E-4</v>
      </c>
      <c r="I77" s="5" t="s">
        <v>111</v>
      </c>
      <c r="J77" s="5"/>
      <c r="K77" s="76">
        <f>K57*4</f>
        <v>4.5412000000000002E-4</v>
      </c>
      <c r="L77" s="5" t="s">
        <v>303</v>
      </c>
      <c r="M77" s="5"/>
      <c r="N77" s="76"/>
      <c r="O77" s="5"/>
    </row>
    <row r="78" spans="2:15" x14ac:dyDescent="0.2">
      <c r="B78" s="76">
        <v>1.4975000000000001E-4</v>
      </c>
      <c r="C78" s="5" t="s">
        <v>76</v>
      </c>
      <c r="D78" s="5"/>
      <c r="E78" s="76">
        <v>5.3837999999999998E-4</v>
      </c>
      <c r="F78" s="5" t="s">
        <v>96</v>
      </c>
      <c r="G78" s="5"/>
      <c r="H78" s="76">
        <f>H59*4</f>
        <v>4.6727999999999998E-4</v>
      </c>
      <c r="I78" s="5" t="s">
        <v>292</v>
      </c>
      <c r="J78" s="5"/>
      <c r="K78" s="76">
        <v>4.7367999999999998E-4</v>
      </c>
      <c r="L78" s="5" t="s">
        <v>267</v>
      </c>
      <c r="M78" s="5"/>
      <c r="N78" s="76"/>
      <c r="O78" s="5"/>
    </row>
    <row r="79" spans="2:15" x14ac:dyDescent="0.2">
      <c r="B79" s="5"/>
      <c r="C79" s="5"/>
      <c r="D79" s="5"/>
      <c r="E79" s="76">
        <v>5.7598000000000002E-4</v>
      </c>
      <c r="F79" s="5" t="s">
        <v>23</v>
      </c>
      <c r="G79" s="5"/>
      <c r="H79" s="76">
        <v>4.9151000000000002E-4</v>
      </c>
      <c r="I79" s="5" t="s">
        <v>112</v>
      </c>
      <c r="J79" s="5"/>
      <c r="K79" s="76">
        <f>K58*4</f>
        <v>4.9355999999999998E-4</v>
      </c>
      <c r="L79" s="5" t="s">
        <v>304</v>
      </c>
      <c r="M79" s="5"/>
      <c r="N79" s="76"/>
      <c r="O79" s="5"/>
    </row>
    <row r="80" spans="2:15" x14ac:dyDescent="0.2">
      <c r="B80" s="5"/>
      <c r="C80" s="5"/>
      <c r="D80" s="5"/>
      <c r="E80" s="76">
        <v>6.4190999999999998E-4</v>
      </c>
      <c r="F80" s="5" t="s">
        <v>22</v>
      </c>
      <c r="G80" s="5"/>
      <c r="H80" s="76">
        <f>H60*4</f>
        <v>5.0743999999999995E-4</v>
      </c>
      <c r="I80" s="5" t="s">
        <v>293</v>
      </c>
      <c r="J80" s="5"/>
      <c r="K80" s="76">
        <v>5.3224000000000001E-4</v>
      </c>
      <c r="L80" s="5" t="s">
        <v>268</v>
      </c>
      <c r="M80" s="5"/>
      <c r="N80" s="76"/>
      <c r="O80" s="5"/>
    </row>
    <row r="81" spans="2:15" x14ac:dyDescent="0.2">
      <c r="B81" s="5"/>
      <c r="C81" s="5"/>
      <c r="D81" s="5"/>
      <c r="E81" s="76">
        <v>6.6542000000000001E-4</v>
      </c>
      <c r="F81" s="5" t="s">
        <v>21</v>
      </c>
      <c r="G81" s="5"/>
      <c r="H81" s="76">
        <v>5.5223000000000002E-4</v>
      </c>
      <c r="I81" s="5" t="s">
        <v>113</v>
      </c>
      <c r="J81" s="5"/>
      <c r="K81" s="76">
        <v>5.4852000000000004E-4</v>
      </c>
      <c r="L81" s="5" t="s">
        <v>269</v>
      </c>
      <c r="M81" s="5"/>
      <c r="N81" s="76"/>
      <c r="O81" s="5"/>
    </row>
    <row r="82" spans="2:15" x14ac:dyDescent="0.2">
      <c r="B82" s="5"/>
      <c r="C82" s="5"/>
      <c r="D82" s="5"/>
      <c r="E82" s="76">
        <v>7.0697000000000002E-4</v>
      </c>
      <c r="F82" s="5" t="s">
        <v>20</v>
      </c>
      <c r="G82" s="5"/>
      <c r="H82" s="76">
        <v>5.6961999999999996E-4</v>
      </c>
      <c r="I82" s="5" t="s">
        <v>114</v>
      </c>
      <c r="J82" s="5"/>
      <c r="K82" s="76">
        <f>K60*4+0.00001544</f>
        <v>5.9132E-4</v>
      </c>
      <c r="L82" s="5" t="s">
        <v>305</v>
      </c>
      <c r="M82" s="5"/>
      <c r="N82" s="76"/>
      <c r="O82" s="5"/>
    </row>
    <row r="83" spans="2:15" x14ac:dyDescent="0.2">
      <c r="B83" s="5"/>
      <c r="C83" s="5"/>
      <c r="D83" s="5"/>
      <c r="E83" s="76">
        <v>7.4983999999999999E-4</v>
      </c>
      <c r="F83" s="5" t="s">
        <v>19</v>
      </c>
      <c r="G83" s="5"/>
      <c r="H83" s="76">
        <f>H62*4</f>
        <v>5.9336000000000002E-4</v>
      </c>
      <c r="I83" s="5" t="s">
        <v>153</v>
      </c>
      <c r="J83" s="5"/>
      <c r="K83" s="76">
        <v>6.1132000000000005E-4</v>
      </c>
      <c r="L83" s="5" t="s">
        <v>270</v>
      </c>
      <c r="M83" s="5"/>
      <c r="N83" s="5"/>
      <c r="O83" s="5"/>
    </row>
    <row r="84" spans="2:15" x14ac:dyDescent="0.2">
      <c r="B84" s="5"/>
      <c r="C84" s="5"/>
      <c r="D84" s="5"/>
      <c r="E84" s="76">
        <v>7.9889000000000002E-4</v>
      </c>
      <c r="F84" s="5" t="s">
        <v>18</v>
      </c>
      <c r="G84" s="5"/>
      <c r="H84" s="76">
        <v>6.3477E-4</v>
      </c>
      <c r="I84" s="5" t="s">
        <v>115</v>
      </c>
      <c r="J84" s="5"/>
      <c r="K84" s="76">
        <v>6.8004999999999997E-4</v>
      </c>
      <c r="L84" s="5" t="s">
        <v>271</v>
      </c>
      <c r="M84" s="5"/>
      <c r="N84" s="76"/>
      <c r="O84" s="5"/>
    </row>
    <row r="85" spans="2:15" x14ac:dyDescent="0.2">
      <c r="B85" s="5"/>
      <c r="C85" s="5"/>
      <c r="D85" s="5"/>
      <c r="E85" s="76">
        <v>8.4614E-4</v>
      </c>
      <c r="F85" s="5" t="s">
        <v>15</v>
      </c>
      <c r="G85" s="5"/>
      <c r="H85" s="76">
        <f>H64*4</f>
        <v>6.9523999999999996E-4</v>
      </c>
      <c r="I85" s="5" t="s">
        <v>294</v>
      </c>
      <c r="J85" s="5"/>
      <c r="K85" s="76">
        <f>K62*4</f>
        <v>7.2367999999999998E-4</v>
      </c>
      <c r="L85" s="5" t="s">
        <v>306</v>
      </c>
      <c r="M85" s="5"/>
      <c r="N85" s="5"/>
      <c r="O85" s="5"/>
    </row>
    <row r="86" spans="2:15" x14ac:dyDescent="0.2">
      <c r="B86" s="5"/>
      <c r="C86" s="5"/>
      <c r="D86" s="5"/>
      <c r="E86" s="76">
        <v>8.9304E-4</v>
      </c>
      <c r="F86" s="5" t="s">
        <v>17</v>
      </c>
      <c r="G86" s="5"/>
      <c r="H86" s="76">
        <v>7.0534999999999999E-4</v>
      </c>
      <c r="I86" s="5" t="s">
        <v>116</v>
      </c>
      <c r="J86" s="5"/>
      <c r="K86" s="5"/>
      <c r="L86" s="5"/>
      <c r="M86" s="5"/>
      <c r="N86" s="5"/>
      <c r="O86" s="5"/>
    </row>
    <row r="87" spans="2:15" x14ac:dyDescent="0.2">
      <c r="B87" s="5"/>
      <c r="C87" s="5"/>
      <c r="D87" s="5"/>
      <c r="E87" s="76">
        <v>9.4123999999999998E-4</v>
      </c>
      <c r="F87" s="5" t="s">
        <v>97</v>
      </c>
      <c r="G87" s="5"/>
      <c r="H87" s="76">
        <v>7.3039000000000003E-4</v>
      </c>
      <c r="I87" s="5" t="s">
        <v>117</v>
      </c>
      <c r="J87" s="5"/>
      <c r="K87" s="5"/>
      <c r="L87" s="5"/>
      <c r="M87" s="5"/>
      <c r="N87" s="5"/>
      <c r="O87" s="5"/>
    </row>
    <row r="88" spans="2:15" x14ac:dyDescent="0.2">
      <c r="B88" s="5"/>
      <c r="C88" s="5"/>
      <c r="D88" s="5"/>
      <c r="E88" s="76">
        <v>9.8868999999999997E-4</v>
      </c>
      <c r="F88" s="5" t="s">
        <v>98</v>
      </c>
      <c r="G88" s="5"/>
      <c r="H88" s="76">
        <v>7.7682000000000001E-4</v>
      </c>
      <c r="I88" s="5" t="s">
        <v>118</v>
      </c>
      <c r="J88" s="5"/>
      <c r="K88" s="5"/>
      <c r="L88" s="5"/>
      <c r="M88" s="5"/>
      <c r="N88" s="5"/>
      <c r="O88" s="5"/>
    </row>
    <row r="89" spans="2:15" x14ac:dyDescent="0.2">
      <c r="B89" s="5"/>
      <c r="C89" s="5"/>
      <c r="D89" s="5"/>
      <c r="E89" s="76">
        <v>1.15011E-3</v>
      </c>
      <c r="F89" s="5" t="s">
        <v>99</v>
      </c>
      <c r="G89" s="5"/>
      <c r="H89" s="76">
        <v>8.2779999999999996E-4</v>
      </c>
      <c r="I89" s="5" t="s">
        <v>119</v>
      </c>
      <c r="J89" s="5"/>
      <c r="K89" s="5"/>
      <c r="L89" s="5"/>
      <c r="M89" s="5"/>
      <c r="N89" s="5"/>
      <c r="O89" s="5"/>
    </row>
    <row r="90" spans="2:15" x14ac:dyDescent="0.2">
      <c r="B90" s="5"/>
      <c r="C90" s="5"/>
      <c r="D90" s="5"/>
      <c r="E90" s="76"/>
      <c r="F90" s="5"/>
      <c r="G90" s="5"/>
      <c r="H90" s="76">
        <v>8.7717999999999997E-4</v>
      </c>
      <c r="I90" s="5" t="s">
        <v>120</v>
      </c>
      <c r="J90" s="5"/>
      <c r="K90" s="5"/>
      <c r="L90" s="5"/>
      <c r="M90" s="5"/>
      <c r="N90" s="5"/>
      <c r="O90" s="5"/>
    </row>
    <row r="91" spans="2:15" x14ac:dyDescent="0.2">
      <c r="B91" s="5"/>
      <c r="C91" s="5"/>
      <c r="D91" s="5"/>
      <c r="E91" s="76"/>
      <c r="F91" s="5"/>
      <c r="G91" s="5"/>
      <c r="H91" s="76">
        <f>H67*4</f>
        <v>9.5507999999999997E-4</v>
      </c>
      <c r="I91" s="5" t="s">
        <v>295</v>
      </c>
      <c r="J91" s="5"/>
      <c r="K91" s="5"/>
      <c r="L91" s="5"/>
      <c r="M91" s="5"/>
      <c r="N91" s="5"/>
      <c r="O91" s="5"/>
    </row>
    <row r="92" spans="2:15" x14ac:dyDescent="0.2">
      <c r="B92" s="5"/>
      <c r="C92" s="5"/>
      <c r="D92" s="5"/>
      <c r="E92" s="76"/>
      <c r="F92" s="5"/>
      <c r="G92" s="5"/>
      <c r="H92" s="76">
        <v>9.6832999999999999E-4</v>
      </c>
      <c r="I92" s="5" t="s">
        <v>121</v>
      </c>
      <c r="J92" s="5"/>
      <c r="K92" s="5"/>
      <c r="L92" s="5"/>
      <c r="M92" s="5"/>
      <c r="N92" s="5"/>
      <c r="O92" s="5"/>
    </row>
    <row r="93" spans="2:15" x14ac:dyDescent="0.2">
      <c r="B93" s="5"/>
      <c r="C93" s="5"/>
      <c r="D93" s="5"/>
      <c r="E93" s="76"/>
      <c r="F93" s="5"/>
      <c r="G93" s="5"/>
      <c r="H93" s="76">
        <f>H70*4</f>
        <v>1.1732000000000001E-3</v>
      </c>
      <c r="I93" s="5" t="s">
        <v>296</v>
      </c>
      <c r="J93" s="5"/>
      <c r="K93" s="5"/>
      <c r="L93" s="5"/>
      <c r="M93" s="5"/>
      <c r="N93" s="5"/>
      <c r="O93" s="5"/>
    </row>
    <row r="94" spans="2:15" x14ac:dyDescent="0.2">
      <c r="E94" s="4"/>
      <c r="H94" s="4"/>
    </row>
    <row r="95" spans="2:15" x14ac:dyDescent="0.2">
      <c r="B95" s="10"/>
      <c r="E95" s="4"/>
      <c r="H95" s="4"/>
    </row>
    <row r="96" spans="2:15" x14ac:dyDescent="0.2">
      <c r="B96" s="10"/>
      <c r="E96" s="4"/>
      <c r="H96" s="4"/>
    </row>
    <row r="97" spans="2:25" x14ac:dyDescent="0.2">
      <c r="B97" s="97" t="s">
        <v>280</v>
      </c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</row>
    <row r="98" spans="2:25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"/>
      <c r="R98" s="1"/>
      <c r="S98" s="1"/>
      <c r="T98" s="1"/>
    </row>
    <row r="99" spans="2:25" x14ac:dyDescent="0.2">
      <c r="B99" s="97" t="s">
        <v>317</v>
      </c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X99" s="97" t="s">
        <v>343</v>
      </c>
      <c r="Y99" s="97"/>
    </row>
    <row r="100" spans="2:25" x14ac:dyDescent="0.2">
      <c r="B100" s="15" t="s">
        <v>320</v>
      </c>
      <c r="D100" s="15" t="s">
        <v>321</v>
      </c>
      <c r="E100" s="14"/>
      <c r="F100" s="15" t="s">
        <v>322</v>
      </c>
      <c r="G100" s="15"/>
      <c r="H100" s="15" t="s">
        <v>323</v>
      </c>
      <c r="I100" s="16"/>
      <c r="J100" s="15" t="s">
        <v>324</v>
      </c>
      <c r="L100" s="17" t="s">
        <v>325</v>
      </c>
      <c r="M100" s="16"/>
      <c r="N100" s="15" t="s">
        <v>347</v>
      </c>
      <c r="O100" s="18"/>
      <c r="P100" s="16" t="s">
        <v>328</v>
      </c>
      <c r="R100" s="16" t="s">
        <v>326</v>
      </c>
      <c r="S100" s="16"/>
      <c r="T100" s="16" t="s">
        <v>327</v>
      </c>
      <c r="U100" s="18"/>
      <c r="V100" s="15" t="s">
        <v>348</v>
      </c>
      <c r="X100" s="15" t="s">
        <v>320</v>
      </c>
    </row>
    <row r="101" spans="2:25" x14ac:dyDescent="0.2">
      <c r="B101" t="s">
        <v>28</v>
      </c>
      <c r="D101" t="s">
        <v>30</v>
      </c>
      <c r="E101" s="7"/>
      <c r="F101" t="s">
        <v>11</v>
      </c>
      <c r="G101" s="7"/>
      <c r="H101" t="s">
        <v>12</v>
      </c>
      <c r="J101" t="s">
        <v>67</v>
      </c>
      <c r="L101" t="s">
        <v>32</v>
      </c>
      <c r="N101" t="s">
        <v>11</v>
      </c>
      <c r="P101" t="s">
        <v>28</v>
      </c>
      <c r="R101" t="s">
        <v>30</v>
      </c>
      <c r="T101" t="s">
        <v>11</v>
      </c>
      <c r="V101" t="s">
        <v>11</v>
      </c>
      <c r="X101" s="15" t="s">
        <v>321</v>
      </c>
    </row>
    <row r="102" spans="2:25" x14ac:dyDescent="0.2">
      <c r="B102" t="s">
        <v>11</v>
      </c>
      <c r="D102" t="s">
        <v>67</v>
      </c>
      <c r="E102" s="7"/>
      <c r="F102" t="s">
        <v>70</v>
      </c>
      <c r="G102" s="7"/>
      <c r="H102" t="s">
        <v>13</v>
      </c>
      <c r="J102" t="s">
        <v>71</v>
      </c>
      <c r="L102" t="s">
        <v>69</v>
      </c>
      <c r="N102" t="s">
        <v>70</v>
      </c>
      <c r="P102" t="s">
        <v>28</v>
      </c>
      <c r="R102" t="s">
        <v>30</v>
      </c>
      <c r="T102" t="s">
        <v>11</v>
      </c>
      <c r="V102" t="s">
        <v>11</v>
      </c>
      <c r="X102" s="15" t="s">
        <v>322</v>
      </c>
    </row>
    <row r="103" spans="2:25" x14ac:dyDescent="0.2">
      <c r="B103" t="s">
        <v>69</v>
      </c>
      <c r="D103" t="s">
        <v>7</v>
      </c>
      <c r="E103" s="7"/>
      <c r="F103" t="s">
        <v>9</v>
      </c>
      <c r="G103" s="7"/>
      <c r="H103" t="s">
        <v>101</v>
      </c>
      <c r="J103" t="s">
        <v>102</v>
      </c>
      <c r="L103" t="s">
        <v>5</v>
      </c>
      <c r="N103" t="s">
        <v>100</v>
      </c>
      <c r="P103" t="s">
        <v>12</v>
      </c>
      <c r="R103" t="s">
        <v>67</v>
      </c>
      <c r="T103" t="s">
        <v>70</v>
      </c>
      <c r="V103" t="s">
        <v>70</v>
      </c>
      <c r="X103" s="15" t="s">
        <v>323</v>
      </c>
    </row>
    <row r="104" spans="2:25" x14ac:dyDescent="0.2">
      <c r="B104" t="s">
        <v>100</v>
      </c>
      <c r="D104" t="s">
        <v>8</v>
      </c>
      <c r="E104" s="7"/>
      <c r="F104" t="s">
        <v>104</v>
      </c>
      <c r="G104" s="7"/>
      <c r="H104" t="s">
        <v>106</v>
      </c>
      <c r="J104" t="s">
        <v>108</v>
      </c>
      <c r="L104" t="s">
        <v>104</v>
      </c>
      <c r="N104" t="s">
        <v>106</v>
      </c>
      <c r="P104" t="s">
        <v>12</v>
      </c>
      <c r="R104" t="s">
        <v>67</v>
      </c>
      <c r="T104" t="s">
        <v>70</v>
      </c>
      <c r="V104" t="s">
        <v>70</v>
      </c>
      <c r="X104" s="15" t="s">
        <v>324</v>
      </c>
    </row>
    <row r="105" spans="2:25" x14ac:dyDescent="0.2">
      <c r="B105" t="s">
        <v>106</v>
      </c>
      <c r="D105" t="s">
        <v>108</v>
      </c>
      <c r="E105" s="7"/>
      <c r="F105" t="s">
        <v>109</v>
      </c>
      <c r="G105" s="7"/>
      <c r="H105" t="s">
        <v>110</v>
      </c>
      <c r="J105" t="s">
        <v>112</v>
      </c>
      <c r="L105" t="s">
        <v>109</v>
      </c>
      <c r="N105" t="s">
        <v>110</v>
      </c>
      <c r="P105" t="s">
        <v>10</v>
      </c>
      <c r="R105" t="s">
        <v>7</v>
      </c>
      <c r="T105" t="s">
        <v>100</v>
      </c>
      <c r="V105" t="s">
        <v>100</v>
      </c>
      <c r="X105" s="17" t="s">
        <v>325</v>
      </c>
    </row>
    <row r="106" spans="2:25" x14ac:dyDescent="0.2">
      <c r="B106" t="s">
        <v>110</v>
      </c>
      <c r="D106" t="s">
        <v>111</v>
      </c>
      <c r="E106" s="7"/>
      <c r="F106" t="s">
        <v>114</v>
      </c>
      <c r="G106" s="7"/>
      <c r="H106" t="s">
        <v>115</v>
      </c>
      <c r="J106" t="s">
        <v>116</v>
      </c>
      <c r="L106" t="s">
        <v>113</v>
      </c>
      <c r="N106" t="s">
        <v>115</v>
      </c>
      <c r="P106" t="s">
        <v>26</v>
      </c>
      <c r="R106" t="s">
        <v>26</v>
      </c>
      <c r="T106" t="s">
        <v>30</v>
      </c>
      <c r="V106" t="s">
        <v>30</v>
      </c>
      <c r="X106" s="15" t="s">
        <v>350</v>
      </c>
    </row>
    <row r="107" spans="2:25" x14ac:dyDescent="0.2">
      <c r="D107" s="7"/>
      <c r="E107" s="7"/>
      <c r="F107" s="7"/>
      <c r="G107" s="7"/>
      <c r="H107" s="7"/>
      <c r="L107" s="4"/>
      <c r="P107" t="s">
        <v>103</v>
      </c>
      <c r="R107" t="s">
        <v>8</v>
      </c>
      <c r="T107" t="s">
        <v>104</v>
      </c>
      <c r="V107" t="s">
        <v>104</v>
      </c>
    </row>
    <row r="108" spans="2:25" x14ac:dyDescent="0.2">
      <c r="D108" s="7"/>
      <c r="E108" s="7"/>
      <c r="F108" s="7"/>
      <c r="G108" s="7"/>
      <c r="H108" s="7"/>
      <c r="L108" s="4"/>
      <c r="P108" t="s">
        <v>32</v>
      </c>
      <c r="R108" t="s">
        <v>11</v>
      </c>
      <c r="T108" t="s">
        <v>67</v>
      </c>
      <c r="V108" s="5" t="s">
        <v>69</v>
      </c>
      <c r="X108" s="97" t="s">
        <v>344</v>
      </c>
      <c r="Y108" s="97"/>
    </row>
    <row r="109" spans="2:25" x14ac:dyDescent="0.2">
      <c r="D109" s="7"/>
      <c r="E109" s="7"/>
      <c r="F109" s="7"/>
      <c r="G109" s="7"/>
      <c r="H109" s="7"/>
      <c r="L109" s="4"/>
      <c r="P109" t="s">
        <v>107</v>
      </c>
      <c r="R109" t="s">
        <v>108</v>
      </c>
      <c r="T109" t="s">
        <v>109</v>
      </c>
      <c r="V109" t="s">
        <v>109</v>
      </c>
      <c r="X109" s="16" t="s">
        <v>328</v>
      </c>
    </row>
    <row r="110" spans="2:25" x14ac:dyDescent="0.2">
      <c r="D110" s="7"/>
      <c r="E110" s="7"/>
      <c r="F110" s="7"/>
      <c r="G110" s="7"/>
      <c r="H110" s="7"/>
      <c r="L110" s="4"/>
      <c r="P110" t="s">
        <v>70</v>
      </c>
      <c r="R110" t="s">
        <v>71</v>
      </c>
      <c r="T110" t="s">
        <v>73</v>
      </c>
      <c r="V110" s="5" t="s">
        <v>5</v>
      </c>
      <c r="X110" s="16" t="s">
        <v>326</v>
      </c>
    </row>
    <row r="111" spans="2:25" x14ac:dyDescent="0.2">
      <c r="D111" s="7"/>
      <c r="E111" s="7"/>
      <c r="F111" s="7"/>
      <c r="G111" s="7"/>
      <c r="H111" s="7"/>
      <c r="L111" s="4"/>
      <c r="P111" t="s">
        <v>110</v>
      </c>
      <c r="R111" t="s">
        <v>111</v>
      </c>
      <c r="T111" t="s">
        <v>113</v>
      </c>
      <c r="V111" s="5" t="s">
        <v>153</v>
      </c>
      <c r="X111" s="16" t="s">
        <v>327</v>
      </c>
    </row>
    <row r="112" spans="2:25" x14ac:dyDescent="0.2">
      <c r="D112" s="7"/>
      <c r="E112" s="7"/>
      <c r="F112" s="7"/>
      <c r="G112" s="7"/>
      <c r="H112" s="7"/>
      <c r="L112" s="4"/>
      <c r="P112" t="s">
        <v>101</v>
      </c>
      <c r="R112" t="s">
        <v>102</v>
      </c>
      <c r="T112" t="s">
        <v>8</v>
      </c>
      <c r="V112" s="5" t="s">
        <v>8</v>
      </c>
      <c r="X112" s="15" t="s">
        <v>351</v>
      </c>
    </row>
    <row r="113" spans="2:25" x14ac:dyDescent="0.2">
      <c r="B113" s="7"/>
      <c r="C113" s="7"/>
      <c r="D113" s="7"/>
      <c r="E113" s="7"/>
      <c r="F113" s="7"/>
      <c r="H113" s="4"/>
    </row>
    <row r="114" spans="2:25" x14ac:dyDescent="0.2">
      <c r="B114" s="7"/>
      <c r="C114" s="7"/>
      <c r="D114" s="7"/>
      <c r="E114" s="7"/>
      <c r="F114" s="7"/>
      <c r="H114" s="4"/>
    </row>
    <row r="115" spans="2:25" x14ac:dyDescent="0.2">
      <c r="B115" s="97" t="s">
        <v>318</v>
      </c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X115" s="97" t="s">
        <v>345</v>
      </c>
      <c r="Y115" s="97"/>
    </row>
    <row r="116" spans="2:25" x14ac:dyDescent="0.2">
      <c r="B116" s="15" t="s">
        <v>329</v>
      </c>
      <c r="C116" s="15"/>
      <c r="D116" s="15" t="s">
        <v>330</v>
      </c>
      <c r="E116" s="15"/>
      <c r="F116" s="15" t="s">
        <v>331</v>
      </c>
      <c r="G116" s="16"/>
      <c r="H116" s="16" t="s">
        <v>332</v>
      </c>
      <c r="I116" s="16"/>
      <c r="J116" s="16" t="s">
        <v>349</v>
      </c>
      <c r="K116" s="16"/>
      <c r="L116" s="16" t="s">
        <v>333</v>
      </c>
      <c r="X116" s="15" t="s">
        <v>329</v>
      </c>
    </row>
    <row r="117" spans="2:25" x14ac:dyDescent="0.2">
      <c r="B117" t="s">
        <v>30</v>
      </c>
      <c r="C117" s="7"/>
      <c r="D117" t="s">
        <v>11</v>
      </c>
      <c r="E117" s="7"/>
      <c r="F117" t="s">
        <v>12</v>
      </c>
      <c r="H117" t="s">
        <v>32</v>
      </c>
      <c r="J117" t="s">
        <v>11</v>
      </c>
      <c r="L117" t="s">
        <v>30</v>
      </c>
      <c r="X117" s="15" t="s">
        <v>330</v>
      </c>
    </row>
    <row r="118" spans="2:25" x14ac:dyDescent="0.2">
      <c r="B118" t="s">
        <v>67</v>
      </c>
      <c r="C118" s="7"/>
      <c r="D118" t="s">
        <v>70</v>
      </c>
      <c r="E118" s="7"/>
      <c r="F118" t="s">
        <v>13</v>
      </c>
      <c r="H118" t="s">
        <v>69</v>
      </c>
      <c r="J118" t="s">
        <v>70</v>
      </c>
      <c r="L118" t="s">
        <v>30</v>
      </c>
      <c r="X118" s="15" t="s">
        <v>331</v>
      </c>
    </row>
    <row r="119" spans="2:25" x14ac:dyDescent="0.2">
      <c r="B119" s="12" t="s">
        <v>252</v>
      </c>
      <c r="C119" s="7"/>
      <c r="D119" s="12" t="s">
        <v>253</v>
      </c>
      <c r="E119" s="7"/>
      <c r="F119" s="12" t="s">
        <v>255</v>
      </c>
      <c r="H119" s="12" t="s">
        <v>251</v>
      </c>
      <c r="J119" s="12" t="s">
        <v>254</v>
      </c>
      <c r="L119" t="s">
        <v>67</v>
      </c>
      <c r="X119" s="16" t="s">
        <v>332</v>
      </c>
    </row>
    <row r="120" spans="2:25" x14ac:dyDescent="0.2">
      <c r="B120" s="12" t="s">
        <v>258</v>
      </c>
      <c r="C120" s="7"/>
      <c r="D120" s="12" t="s">
        <v>259</v>
      </c>
      <c r="E120" s="7"/>
      <c r="F120" s="12" t="s">
        <v>261</v>
      </c>
      <c r="H120" s="12" t="s">
        <v>259</v>
      </c>
      <c r="J120" s="12" t="s">
        <v>261</v>
      </c>
      <c r="L120" t="s">
        <v>67</v>
      </c>
      <c r="X120" s="16" t="s">
        <v>352</v>
      </c>
    </row>
    <row r="121" spans="2:25" x14ac:dyDescent="0.2">
      <c r="B121" s="12" t="s">
        <v>263</v>
      </c>
      <c r="C121" s="7"/>
      <c r="D121" s="12" t="s">
        <v>264</v>
      </c>
      <c r="E121" s="7"/>
      <c r="F121" s="12" t="s">
        <v>265</v>
      </c>
      <c r="H121" s="12" t="s">
        <v>264</v>
      </c>
      <c r="J121" s="12" t="s">
        <v>265</v>
      </c>
      <c r="L121" s="12" t="s">
        <v>252</v>
      </c>
    </row>
    <row r="122" spans="2:25" x14ac:dyDescent="0.2">
      <c r="B122" s="12" t="s">
        <v>266</v>
      </c>
      <c r="C122" s="7"/>
      <c r="D122" s="12" t="s">
        <v>269</v>
      </c>
      <c r="E122" s="7"/>
      <c r="F122" s="12" t="s">
        <v>270</v>
      </c>
      <c r="H122" s="12" t="s">
        <v>268</v>
      </c>
      <c r="J122" s="12" t="s">
        <v>270</v>
      </c>
      <c r="L122" t="s">
        <v>26</v>
      </c>
    </row>
    <row r="123" spans="2:25" x14ac:dyDescent="0.2">
      <c r="B123" s="7"/>
      <c r="C123" s="7"/>
      <c r="D123" s="7"/>
      <c r="E123" s="7"/>
      <c r="F123" s="7"/>
      <c r="L123" s="12" t="s">
        <v>258</v>
      </c>
    </row>
    <row r="124" spans="2:25" x14ac:dyDescent="0.2">
      <c r="B124" s="7"/>
      <c r="C124" s="7"/>
      <c r="D124" s="7"/>
      <c r="E124" s="7"/>
      <c r="F124" s="7"/>
      <c r="L124" t="s">
        <v>11</v>
      </c>
    </row>
    <row r="125" spans="2:25" x14ac:dyDescent="0.2">
      <c r="B125" s="7"/>
      <c r="C125" s="7"/>
      <c r="D125" s="7"/>
      <c r="E125" s="7"/>
      <c r="F125" s="7"/>
      <c r="L125" s="12" t="s">
        <v>263</v>
      </c>
    </row>
    <row r="126" spans="2:25" x14ac:dyDescent="0.2">
      <c r="B126" s="7"/>
      <c r="C126" s="7"/>
      <c r="D126" s="7"/>
      <c r="E126" s="7"/>
      <c r="F126" s="7"/>
      <c r="L126" t="s">
        <v>71</v>
      </c>
    </row>
    <row r="127" spans="2:25" x14ac:dyDescent="0.2">
      <c r="B127" s="7"/>
      <c r="C127" s="7"/>
      <c r="D127" s="7"/>
      <c r="E127" s="7"/>
      <c r="F127" s="7"/>
      <c r="L127" s="12" t="s">
        <v>266</v>
      </c>
    </row>
    <row r="128" spans="2:25" x14ac:dyDescent="0.2">
      <c r="L128" s="12" t="s">
        <v>256</v>
      </c>
    </row>
    <row r="132" spans="2:25" x14ac:dyDescent="0.2">
      <c r="B132" s="97" t="s">
        <v>319</v>
      </c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X132" s="97" t="s">
        <v>346</v>
      </c>
      <c r="Y132" s="97"/>
    </row>
    <row r="133" spans="2:25" x14ac:dyDescent="0.2">
      <c r="B133" s="15" t="s">
        <v>334</v>
      </c>
      <c r="C133" s="15"/>
      <c r="D133" s="15" t="s">
        <v>340</v>
      </c>
      <c r="E133" s="18"/>
      <c r="F133" s="15" t="s">
        <v>335</v>
      </c>
      <c r="G133" s="15"/>
      <c r="H133" s="15" t="s">
        <v>341</v>
      </c>
      <c r="I133" s="18"/>
      <c r="J133" s="15" t="s">
        <v>336</v>
      </c>
      <c r="K133" s="16"/>
      <c r="L133" s="15" t="s">
        <v>339</v>
      </c>
      <c r="M133" s="16"/>
      <c r="N133" s="16" t="s">
        <v>342</v>
      </c>
      <c r="O133" s="18"/>
      <c r="P133" s="16" t="s">
        <v>337</v>
      </c>
      <c r="X133" s="15" t="s">
        <v>336</v>
      </c>
    </row>
    <row r="134" spans="2:25" x14ac:dyDescent="0.2">
      <c r="B134" t="s">
        <v>30</v>
      </c>
      <c r="D134" t="s">
        <v>30</v>
      </c>
      <c r="F134" t="s">
        <v>32</v>
      </c>
      <c r="H134" t="s">
        <v>32</v>
      </c>
      <c r="J134" t="s">
        <v>28</v>
      </c>
      <c r="L134" t="s">
        <v>28</v>
      </c>
      <c r="N134" t="s">
        <v>30</v>
      </c>
      <c r="P134" t="s">
        <v>30</v>
      </c>
      <c r="X134" s="15" t="s">
        <v>339</v>
      </c>
    </row>
    <row r="135" spans="2:25" x14ac:dyDescent="0.2">
      <c r="B135" t="s">
        <v>12</v>
      </c>
      <c r="D135" t="s">
        <v>68</v>
      </c>
      <c r="F135" t="s">
        <v>67</v>
      </c>
      <c r="H135" t="s">
        <v>69</v>
      </c>
      <c r="J135" t="s">
        <v>32</v>
      </c>
      <c r="L135" t="s">
        <v>11</v>
      </c>
      <c r="N135" t="s">
        <v>12</v>
      </c>
      <c r="P135" t="s">
        <v>30</v>
      </c>
      <c r="X135" s="15" t="s">
        <v>334</v>
      </c>
    </row>
    <row r="136" spans="2:25" x14ac:dyDescent="0.2">
      <c r="B136" t="s">
        <v>13</v>
      </c>
      <c r="D136" t="s">
        <v>13</v>
      </c>
      <c r="F136" t="s">
        <v>71</v>
      </c>
      <c r="H136" t="s">
        <v>72</v>
      </c>
      <c r="J136" t="s">
        <v>70</v>
      </c>
      <c r="L136" t="s">
        <v>69</v>
      </c>
      <c r="N136" t="s">
        <v>13</v>
      </c>
      <c r="P136" t="s">
        <v>12</v>
      </c>
      <c r="X136" s="15" t="s">
        <v>340</v>
      </c>
    </row>
    <row r="137" spans="2:25" x14ac:dyDescent="0.2">
      <c r="B137" t="s">
        <v>84</v>
      </c>
      <c r="D137" t="s">
        <v>282</v>
      </c>
      <c r="F137" t="s">
        <v>85</v>
      </c>
      <c r="H137" t="s">
        <v>85</v>
      </c>
      <c r="J137" t="s">
        <v>83</v>
      </c>
      <c r="L137" t="s">
        <v>82</v>
      </c>
      <c r="N137" t="s">
        <v>14</v>
      </c>
      <c r="P137" t="s">
        <v>12</v>
      </c>
      <c r="X137" s="15" t="s">
        <v>335</v>
      </c>
    </row>
    <row r="138" spans="2:25" x14ac:dyDescent="0.2">
      <c r="B138" t="s">
        <v>88</v>
      </c>
      <c r="D138" t="s">
        <v>87</v>
      </c>
      <c r="F138" t="s">
        <v>89</v>
      </c>
      <c r="H138" s="12" t="s">
        <v>283</v>
      </c>
      <c r="J138" t="s">
        <v>86</v>
      </c>
      <c r="L138" t="s">
        <v>14</v>
      </c>
      <c r="N138" t="s">
        <v>91</v>
      </c>
      <c r="P138" t="s">
        <v>13</v>
      </c>
      <c r="X138" s="15" t="s">
        <v>341</v>
      </c>
    </row>
    <row r="139" spans="2:25" x14ac:dyDescent="0.2">
      <c r="B139" t="s">
        <v>16</v>
      </c>
      <c r="D139" t="s">
        <v>16</v>
      </c>
      <c r="F139" t="s">
        <v>94</v>
      </c>
      <c r="H139" s="12" t="s">
        <v>284</v>
      </c>
      <c r="J139" t="s">
        <v>91</v>
      </c>
      <c r="L139" s="12" t="s">
        <v>285</v>
      </c>
      <c r="N139" t="s">
        <v>95</v>
      </c>
      <c r="P139" t="s">
        <v>26</v>
      </c>
      <c r="X139" s="16" t="s">
        <v>353</v>
      </c>
    </row>
    <row r="140" spans="2:25" x14ac:dyDescent="0.2">
      <c r="P140" t="s">
        <v>84</v>
      </c>
    </row>
    <row r="141" spans="2:25" x14ac:dyDescent="0.2">
      <c r="P141" t="s">
        <v>11</v>
      </c>
    </row>
    <row r="142" spans="2:25" x14ac:dyDescent="0.2">
      <c r="P142" t="s">
        <v>88</v>
      </c>
    </row>
    <row r="143" spans="2:25" x14ac:dyDescent="0.2">
      <c r="P143" t="s">
        <v>71</v>
      </c>
    </row>
    <row r="144" spans="2:25" x14ac:dyDescent="0.2">
      <c r="P144" t="s">
        <v>16</v>
      </c>
    </row>
    <row r="145" spans="16:16" x14ac:dyDescent="0.2">
      <c r="P145" t="s">
        <v>84</v>
      </c>
    </row>
  </sheetData>
  <sheetProtection password="AEEB" sheet="1" objects="1" scenarios="1"/>
  <mergeCells count="30">
    <mergeCell ref="A6:B6"/>
    <mergeCell ref="G6:H6"/>
    <mergeCell ref="D6:E6"/>
    <mergeCell ref="J6:K6"/>
    <mergeCell ref="B52:C52"/>
    <mergeCell ref="H52:I52"/>
    <mergeCell ref="E52:F52"/>
    <mergeCell ref="K52:L52"/>
    <mergeCell ref="J5:K5"/>
    <mergeCell ref="A4:B4"/>
    <mergeCell ref="J4:K4"/>
    <mergeCell ref="D4:E4"/>
    <mergeCell ref="G4:H4"/>
    <mergeCell ref="A5:B5"/>
    <mergeCell ref="D5:E5"/>
    <mergeCell ref="G5:H5"/>
    <mergeCell ref="D3:E3"/>
    <mergeCell ref="G3:K3"/>
    <mergeCell ref="A3:B3"/>
    <mergeCell ref="A1:K1"/>
    <mergeCell ref="A2:K2"/>
    <mergeCell ref="T19:X19"/>
    <mergeCell ref="X99:Y99"/>
    <mergeCell ref="X108:Y108"/>
    <mergeCell ref="X115:Y115"/>
    <mergeCell ref="X132:Y132"/>
    <mergeCell ref="B97:U97"/>
    <mergeCell ref="B99:U99"/>
    <mergeCell ref="B115:M115"/>
    <mergeCell ref="B132:Q132"/>
  </mergeCells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Read Me</vt:lpstr>
      <vt:lpstr>6-String</vt:lpstr>
      <vt:lpstr>12-String</vt:lpstr>
      <vt:lpstr>Scratch Paper</vt:lpstr>
      <vt:lpstr>Pitch</vt:lpstr>
      <vt:lpstr>String</vt:lpstr>
      <vt:lpstr>Bronze</vt:lpstr>
      <vt:lpstr>BWSet12</vt:lpstr>
      <vt:lpstr>BWSet6</vt:lpstr>
      <vt:lpstr>NickelWound</vt:lpstr>
      <vt:lpstr>NWSet12</vt:lpstr>
      <vt:lpstr>NWSet6</vt:lpstr>
      <vt:lpstr>PBSet12</vt:lpstr>
      <vt:lpstr>PBSet6</vt:lpstr>
      <vt:lpstr>PhosBronze</vt:lpstr>
      <vt:lpstr>Pitch</vt:lpstr>
      <vt:lpstr>Plain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String Tension Calculator</dc:title>
  <dc:creator>Steve Tilson</dc:creator>
  <cp:keywords>1.10</cp:keywords>
  <cp:lastModifiedBy>Steve Tilson</cp:lastModifiedBy>
  <cp:lastPrinted>2026-01-13T04:26:38Z</cp:lastPrinted>
  <dcterms:created xsi:type="dcterms:W3CDTF">2013-02-04T17:34:18Z</dcterms:created>
  <dcterms:modified xsi:type="dcterms:W3CDTF">2026-02-14T08:05:27Z</dcterms:modified>
</cp:coreProperties>
</file>